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Monthly Trend" sheetId="2" state="visible" r:id="rId4"/>
    <sheet name="Dept 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<sst xmlns="http://schemas.openxmlformats.org/spreadsheetml/2006/main" count="229" uniqueCount="133">
  <si>
    <t xml:space="preserve">KPI &amp; Metrics Dashboard — Q1 2025</t>
  </si>
  <si>
    <t xml:space="preserve">KPI</t>
  </si>
  <si>
    <t xml:space="preserve">Category</t>
  </si>
  <si>
    <t xml:space="preserve">Unit</t>
  </si>
  <si>
    <t xml:space="preserve">Q1 Target</t>
  </si>
  <si>
    <t xml:space="preserve">Q1 Actual</t>
  </si>
  <si>
    <t xml:space="preserve">vs Target</t>
  </si>
  <si>
    <t xml:space="preserve">Q4 2024</t>
  </si>
  <si>
    <t xml:space="preserve">YoY Change</t>
  </si>
  <si>
    <t xml:space="preserve">Trend</t>
  </si>
  <si>
    <t xml:space="preserve">Notes</t>
  </si>
  <si>
    <t xml:space="preserve">ARR</t>
  </si>
  <si>
    <t xml:space="preserve">Revenue</t>
  </si>
  <si>
    <t xml:space="preserve">$M</t>
  </si>
  <si>
    <t xml:space="preserve">▲</t>
  </si>
  <si>
    <t xml:space="preserve">Above plan; new enterprise deals</t>
  </si>
  <si>
    <t xml:space="preserve">MRR</t>
  </si>
  <si>
    <t xml:space="preserve">Consistent MoM growth</t>
  </si>
  <si>
    <t xml:space="preserve">New Bookings</t>
  </si>
  <si>
    <t xml:space="preserve">Slightly below plan; 1 deal slipped</t>
  </si>
  <si>
    <t xml:space="preserve">Expansion Revenue</t>
  </si>
  <si>
    <t xml:space="preserve">Strong upsell quarter</t>
  </si>
  <si>
    <t xml:space="preserve">Gross Revenue Retention</t>
  </si>
  <si>
    <t xml:space="preserve">%</t>
  </si>
  <si>
    <t xml:space="preserve">Best-in-class</t>
  </si>
  <si>
    <t xml:space="preserve">Net Revenue Retention</t>
  </si>
  <si>
    <t xml:space="preserve">Growth</t>
  </si>
  <si>
    <t xml:space="preserve">Expansion driving NRR up</t>
  </si>
  <si>
    <t xml:space="preserve">New Logos</t>
  </si>
  <si>
    <t xml:space="preserve">#</t>
  </si>
  <si>
    <t xml:space="preserve">3 below plan; pipeline solid</t>
  </si>
  <si>
    <t xml:space="preserve">Pipeline Coverage</t>
  </si>
  <si>
    <t xml:space="preserve">x</t>
  </si>
  <si>
    <t xml:space="preserve">Strong heading into Q2</t>
  </si>
  <si>
    <t xml:space="preserve">Win Rate</t>
  </si>
  <si>
    <t xml:space="preserve">Improved qualification</t>
  </si>
  <si>
    <t xml:space="preserve">Gross Margin</t>
  </si>
  <si>
    <t xml:space="preserve">Efficiency</t>
  </si>
  <si>
    <t xml:space="preserve">COGS leverage improving</t>
  </si>
  <si>
    <t xml:space="preserve">CAC Payback (months)</t>
  </si>
  <si>
    <t xml:space="preserve">mo</t>
  </si>
  <si>
    <t xml:space="preserve">▼</t>
  </si>
  <si>
    <t xml:space="preserve">Improving</t>
  </si>
  <si>
    <t xml:space="preserve">LTV : CAC</t>
  </si>
  <si>
    <t xml:space="preserve">Well above 3x benchmark</t>
  </si>
  <si>
    <t xml:space="preserve">Burn Multiple</t>
  </si>
  <si>
    <t xml:space="preserve">Efficient growth quarter</t>
  </si>
  <si>
    <t xml:space="preserve">NPS Score</t>
  </si>
  <si>
    <t xml:space="preserve">Customer</t>
  </si>
  <si>
    <t xml:space="preserve">pts</t>
  </si>
  <si>
    <t xml:space="preserve">Record high; product launch impact</t>
  </si>
  <si>
    <t xml:space="preserve">CSAT</t>
  </si>
  <si>
    <t xml:space="preserve">Support SLA improvements</t>
  </si>
  <si>
    <t xml:space="preserve">Churn Rate</t>
  </si>
  <si>
    <t xml:space="preserve">Churn at 18-month low</t>
  </si>
  <si>
    <t xml:space="preserve">Support CSAT</t>
  </si>
  <si>
    <t xml:space="preserve">Total Headcount</t>
  </si>
  <si>
    <t xml:space="preserve">People</t>
  </si>
  <si>
    <t xml:space="preserve">Ahead of hiring plan</t>
  </si>
  <si>
    <t xml:space="preserve">Engineering Headcount</t>
  </si>
  <si>
    <t xml:space="preserve">Open Roles</t>
  </si>
  <si>
    <t xml:space="preserve">Recruiting velocity up</t>
  </si>
  <si>
    <t xml:space="preserve">eNPS</t>
  </si>
  <si>
    <t xml:space="preserve">All-hands and offsites impact</t>
  </si>
  <si>
    <t xml:space="preserve">Monthly Metrics — Apr 2024 through Mar 2025</t>
  </si>
  <si>
    <t xml:space="preserve">Metric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</si>
  <si>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</si>
  <si>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</si>
  <si>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</si>
  <si>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</si>
  <si>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</si>
  <si>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</si>
  <si>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</si>
  <si>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</si>
  <si>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</si>
  <si>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</si>
  <si>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</si>
  <si>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</si>
  <si>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MRR ($M)</t>
  </si>
  <si>
    <t xml:space="preserve">New Logos (#)</t>
  </si>
  <si>
    <t xml:space="preserve">Win Rate (%)</t>
  </si>
  <si>
    <t xml:space="preserve">Churn Rate (%)</t>
  </si>
  <si>
    <t xml:space="preserve">CSAT (%)</t>
  </si>
  <si>
    <t xml:space="preserve">Headcount (#)</t>
  </si>
  <si>
    <t xml:space="preserve">Pipeline ($M)</t>
  </si>
  <si>
    <t xml:space="preserve">Gross Margin (%)</t>
  </si>
  <si>
    <t xml:space="preserve">Departmental Scorecard — Q1 2025</t>
  </si>
  <si>
    <t xml:space="preserve">Department</t>
  </si>
  <si>
    <t xml:space="preserve">Owner</t>
  </si>
  <si>
    <t xml:space="preserve">Target</t>
  </si>
  <si>
    <t xml:space="preserve">Actual</t>
  </si>
  <si>
    <t xml:space="preserve">RAG</t>
  </si>
  <si>
    <t xml:space="preserve">Commentary</t>
  </si>
  <si>
    <t xml:space="preserve">Sales</t>
  </si>
  <si>
    <t xml:space="preserve">VP Sales</t>
  </si>
  <si>
    <t xml:space="preserve">ARR ($M)</t>
  </si>
  <si>
    <t xml:space="preserve">● On Track</t>
  </si>
  <si>
    <t xml:space="preserve">Above plan; enterprise segment strong</t>
  </si>
  <si>
    <t xml:space="preserve">▲ Watch</t>
  </si>
  <si>
    <t xml:space="preserve">1 large deal slipped to Q2</t>
  </si>
  <si>
    <t xml:space="preserve">Qualification improvements paying off</t>
  </si>
  <si>
    <t xml:space="preserve">Marketing</t>
  </si>
  <si>
    <t xml:space="preserve">CMO</t>
  </si>
  <si>
    <t xml:space="preserve">Pipeline Generated ($M)</t>
  </si>
  <si>
    <t xml:space="preserve">Demand gen campaigns outperformed</t>
  </si>
  <si>
    <t xml:space="preserve">MQLs</t>
  </si>
  <si>
    <t xml:space="preserve">Volume below plan; quality up</t>
  </si>
  <si>
    <t xml:space="preserve">CAC ($k)</t>
  </si>
  <si>
    <t xml:space="preserve">Lower than target — efficient quarter</t>
  </si>
  <si>
    <t xml:space="preserve">Engineering</t>
  </si>
  <si>
    <t xml:space="preserve">CTO</t>
  </si>
  <si>
    <t xml:space="preserve">Sprint Velocity (pts)</t>
  </si>
  <si>
    <t xml:space="preserve">Two engineers on leave</t>
  </si>
  <si>
    <t xml:space="preserve">P1 Bugs Resolved</t>
  </si>
  <si>
    <t xml:space="preserve">SLA met</t>
  </si>
  <si>
    <t xml:space="preserve">Deploy Frequency (/ wk)</t>
  </si>
  <si>
    <t xml:space="preserve">CI/CD improvements live</t>
  </si>
  <si>
    <t xml:space="preserve">CS</t>
  </si>
  <si>
    <t xml:space="preserve">VP CS</t>
  </si>
  <si>
    <t xml:space="preserve">NPS</t>
  </si>
  <si>
    <t xml:space="preserve">Record high</t>
  </si>
  <si>
    <t xml:space="preserve">Lowest in 18 months</t>
  </si>
  <si>
    <t xml:space="preserve">Finance</t>
  </si>
  <si>
    <t xml:space="preserve">CFO</t>
  </si>
  <si>
    <t xml:space="preserve">Efficient spend</t>
  </si>
  <si>
    <t xml:space="preserve">COGS savings realized</t>
  </si>
  <si>
    <t xml:space="preserve">HR</t>
  </si>
  <si>
    <t xml:space="preserve">CHRO</t>
  </si>
  <si>
    <t xml:space="preserve">Hires vs Plan</t>
  </si>
  <si>
    <t xml:space="preserve">Recruiting ahead of plan</t>
  </si>
  <si>
    <t xml:space="preserve">Offsites &amp; All-Hands impact</t>
  </si>
  <si>
    <t xml:space="preserve">Attrition (%)</t>
  </si>
  <si>
    <t xml:space="preserve">Slightly above plan; exit interviews reviewed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</si>
</sst>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&quot;($&quot;#,##0.0\);\-"/>
    <numFmt numFmtId="166" formatCode="\+0.0%;\(0.0%\);\-"/>
    <numFmt numFmtId="167" formatCode="0.0%;\(0.0%\);\-"/>
    <numFmt numFmtId="168" formatCode="#,##0"/>
    <numFmt numFmtId="169" formatCode="0.0\x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84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0"/>
      <color rgb="FF0A84FF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84FF"/>
        <bgColor rgb="FF3366FF"/>
      </patternFill>
    </fill>
    <fill>
      <patternFill patternType="solid">
        <fgColor rgb="FFF5F7FA"/>
        <bgColor rgb="FFEBF4FF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F5F7FA"/>
      </patternFill>
    </fill>
    <fill>
      <patternFill patternType="solid">
        <fgColor rgb="FFFEE2E2"/>
        <bgColor rgb="FFFCE7F3"/>
      </patternFill>
    </fill>
    <fill>
      <patternFill patternType="solid">
        <fgColor rgb="FFFEF3C7"/>
        <bgColor rgb="FFFEE2E2"/>
      </patternFill>
    </fill>
    <fill>
      <patternFill patternType="solid">
        <fgColor rgb="FFFCE7F3"/>
        <bgColor rgb="FFFEE2E2"/>
      </patternFill>
    </fill>
    <fill>
      <patternFill patternType="solid">
        <fgColor rgb="FFEDE9FE"/>
        <bgColor rgb="FFEBF4FF"/>
      </patternFill>
    </fill>
    <fill>
      <patternFill patternType="solid">
        <fgColor rgb="FFEBF4FF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/>
      <bottom style="medium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EDE9FE"/>
      <rgbColor rgb="FF808080"/>
      <rgbColor rgb="FF9999FF"/>
      <rgbColor rgb="FF993366"/>
      <rgbColor rgb="FFFEF3C7"/>
      <rgbColor rgb="FFDBEAFE"/>
      <rgbColor rgb="FF660066"/>
      <rgbColor rgb="FFFF8080"/>
      <rgbColor rgb="FF0A84FF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D1FAE5"/>
      <rgbColor rgb="FFF5F7FA"/>
      <rgbColor rgb="FFFCE7F3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111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8" min="4" style="0" width="12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9.75" hidden="false" customHeight="true" outlineLevel="0" collapsed="false"/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s">
        <v>11</v>
      </c>
      <c r="B4" s="4" t="s">
        <v>12</v>
      </c>
      <c r="C4" s="5" t="s">
        <v>13</v>
      </c>
      <c r="D4" s="6" t="n">
        <v>42</v>
      </c>
      <c r="E4" s="6" t="n">
        <v>44.8</v>
      </c>
      <c r="F4" s="7" t="n">
        <f aca="false">IF(D4=0,"-",(E4-D4)/ABS(D4))</f>
        <v>0.0666666666666666</v>
      </c>
      <c r="G4" s="6" t="n">
        <v>38.2</v>
      </c>
      <c r="H4" s="8" t="n">
        <f aca="false">IF(G4=0,"-",(E4-G4)/ABS(G4))</f>
        <v>0.172774869109948</v>
      </c>
      <c r="I4" s="9" t="s">
        <v>14</v>
      </c>
      <c r="J4" s="10" t="s">
        <v>15</v>
      </c>
    </row>
    <row r="5" customFormat="false" ht="15" hidden="false" customHeight="false" outlineLevel="0" collapsed="false">
      <c r="A5" s="11" t="s">
        <v>16</v>
      </c>
      <c r="B5" s="4" t="s">
        <v>12</v>
      </c>
      <c r="C5" s="12" t="s">
        <v>13</v>
      </c>
      <c r="D5" s="13" t="n">
        <v>3.5</v>
      </c>
      <c r="E5" s="13" t="n">
        <v>3.73</v>
      </c>
      <c r="F5" s="7" t="n">
        <f aca="false">IF(D5=0,"-",(E5-D5)/ABS(D5))</f>
        <v>0.0657142857142857</v>
      </c>
      <c r="G5" s="13" t="n">
        <v>3.18</v>
      </c>
      <c r="H5" s="14" t="n">
        <f aca="false">IF(G5=0,"-",(E5-G5)/ABS(G5))</f>
        <v>0.172955974842767</v>
      </c>
      <c r="I5" s="15" t="s">
        <v>14</v>
      </c>
      <c r="J5" s="16" t="s">
        <v>17</v>
      </c>
    </row>
    <row r="6" customFormat="false" ht="15" hidden="false" customHeight="false" outlineLevel="0" collapsed="false">
      <c r="A6" s="3" t="s">
        <v>18</v>
      </c>
      <c r="B6" s="4" t="s">
        <v>12</v>
      </c>
      <c r="C6" s="5" t="s">
        <v>13</v>
      </c>
      <c r="D6" s="6" t="n">
        <v>6.2</v>
      </c>
      <c r="E6" s="6" t="n">
        <v>5.8</v>
      </c>
      <c r="F6" s="17" t="n">
        <f aca="false">IF(D6=0,"-",(E6-D6)/ABS(D6))</f>
        <v>-0.0645161290322581</v>
      </c>
      <c r="G6" s="6" t="n">
        <v>5.1</v>
      </c>
      <c r="H6" s="8" t="n">
        <f aca="false">IF(G6=0,"-",(E6-G6)/ABS(G6))</f>
        <v>0.137254901960784</v>
      </c>
      <c r="I6" s="9" t="s">
        <v>14</v>
      </c>
      <c r="J6" s="10" t="s">
        <v>19</v>
      </c>
    </row>
    <row r="7" customFormat="false" ht="15" hidden="false" customHeight="false" outlineLevel="0" collapsed="false">
      <c r="A7" s="11" t="s">
        <v>20</v>
      </c>
      <c r="B7" s="4" t="s">
        <v>12</v>
      </c>
      <c r="C7" s="12" t="s">
        <v>13</v>
      </c>
      <c r="D7" s="13" t="n">
        <v>1.8</v>
      </c>
      <c r="E7" s="13" t="n">
        <v>2.1</v>
      </c>
      <c r="F7" s="7" t="n">
        <f aca="false">IF(D7=0,"-",(E7-D7)/ABS(D7))</f>
        <v>0.166666666666667</v>
      </c>
      <c r="G7" s="13" t="n">
        <v>1.5</v>
      </c>
      <c r="H7" s="14" t="n">
        <f aca="false">IF(G7=0,"-",(E7-G7)/ABS(G7))</f>
        <v>0.4</v>
      </c>
      <c r="I7" s="15" t="s">
        <v>14</v>
      </c>
      <c r="J7" s="16" t="s">
        <v>21</v>
      </c>
    </row>
    <row r="8" customFormat="false" ht="15" hidden="false" customHeight="false" outlineLevel="0" collapsed="false">
      <c r="A8" s="3" t="s">
        <v>22</v>
      </c>
      <c r="B8" s="4" t="s">
        <v>12</v>
      </c>
      <c r="C8" s="5" t="s">
        <v>23</v>
      </c>
      <c r="D8" s="18" t="n">
        <v>0.92</v>
      </c>
      <c r="E8" s="18" t="n">
        <v>0.93</v>
      </c>
      <c r="F8" s="7" t="n">
        <f aca="false">IF(D8=0,"-",(E8-D8)/ABS(D8))</f>
        <v>0.0108695652173913</v>
      </c>
      <c r="G8" s="18" t="n">
        <v>0.91</v>
      </c>
      <c r="H8" s="8" t="n">
        <f aca="false">IF(G8=0,"-",(E8-G8)/ABS(G8))</f>
        <v>0.021978021978022</v>
      </c>
      <c r="I8" s="9" t="s">
        <v>14</v>
      </c>
      <c r="J8" s="10" t="s">
        <v>24</v>
      </c>
    </row>
    <row r="9" customFormat="false" ht="15" hidden="false" customHeight="false" outlineLevel="0" collapsed="false">
      <c r="A9" s="11" t="s">
        <v>25</v>
      </c>
      <c r="B9" s="19" t="s">
        <v>26</v>
      </c>
      <c r="C9" s="12" t="s">
        <v>23</v>
      </c>
      <c r="D9" s="20" t="n">
        <v>1.1</v>
      </c>
      <c r="E9" s="20" t="n">
        <v>1.14</v>
      </c>
      <c r="F9" s="7" t="n">
        <f aca="false">IF(D9=0,"-",(E9-D9)/ABS(D9))</f>
        <v>0.0363636363636362</v>
      </c>
      <c r="G9" s="20" t="n">
        <v>1.08</v>
      </c>
      <c r="H9" s="14" t="n">
        <f aca="false">IF(G9=0,"-",(E9-G9)/ABS(G9))</f>
        <v>0.0555555555555554</v>
      </c>
      <c r="I9" s="15" t="s">
        <v>14</v>
      </c>
      <c r="J9" s="16" t="s">
        <v>27</v>
      </c>
    </row>
    <row r="10" customFormat="false" ht="15" hidden="false" customHeight="false" outlineLevel="0" collapsed="false">
      <c r="A10" s="3" t="s">
        <v>28</v>
      </c>
      <c r="B10" s="19" t="s">
        <v>26</v>
      </c>
      <c r="C10" s="5" t="s">
        <v>29</v>
      </c>
      <c r="D10" s="21" t="n">
        <v>28</v>
      </c>
      <c r="E10" s="21" t="n">
        <v>25</v>
      </c>
      <c r="F10" s="17" t="n">
        <f aca="false">IF(D10=0,"-",(E10-D10)/ABS(D10))</f>
        <v>-0.107142857142857</v>
      </c>
      <c r="G10" s="21" t="n">
        <v>22</v>
      </c>
      <c r="H10" s="8" t="n">
        <f aca="false">IF(G10=0,"-",(E10-G10)/ABS(G10))</f>
        <v>0.136363636363636</v>
      </c>
      <c r="I10" s="9" t="s">
        <v>14</v>
      </c>
      <c r="J10" s="10" t="s">
        <v>30</v>
      </c>
    </row>
    <row r="11" customFormat="false" ht="15" hidden="false" customHeight="false" outlineLevel="0" collapsed="false">
      <c r="A11" s="11" t="s">
        <v>31</v>
      </c>
      <c r="B11" s="19" t="s">
        <v>26</v>
      </c>
      <c r="C11" s="12" t="s">
        <v>32</v>
      </c>
      <c r="D11" s="22" t="n">
        <v>3.5</v>
      </c>
      <c r="E11" s="22" t="n">
        <v>4.1</v>
      </c>
      <c r="F11" s="7" t="n">
        <f aca="false">IF(D11=0,"-",(E11-D11)/ABS(D11))</f>
        <v>0.171428571428571</v>
      </c>
      <c r="G11" s="22" t="n">
        <v>3.2</v>
      </c>
      <c r="H11" s="14" t="n">
        <f aca="false">IF(G11=0,"-",(E11-G11)/ABS(G11))</f>
        <v>0.28125</v>
      </c>
      <c r="I11" s="15" t="s">
        <v>14</v>
      </c>
      <c r="J11" s="16" t="s">
        <v>33</v>
      </c>
    </row>
    <row r="12" customFormat="false" ht="15" hidden="false" customHeight="false" outlineLevel="0" collapsed="false">
      <c r="A12" s="3" t="s">
        <v>34</v>
      </c>
      <c r="B12" s="19" t="s">
        <v>26</v>
      </c>
      <c r="C12" s="5" t="s">
        <v>23</v>
      </c>
      <c r="D12" s="18" t="n">
        <v>0.28</v>
      </c>
      <c r="E12" s="18" t="n">
        <v>0.31</v>
      </c>
      <c r="F12" s="7" t="n">
        <f aca="false">IF(D12=0,"-",(E12-D12)/ABS(D12))</f>
        <v>0.107142857142857</v>
      </c>
      <c r="G12" s="18" t="n">
        <v>0.27</v>
      </c>
      <c r="H12" s="8" t="n">
        <f aca="false">IF(G12=0,"-",(E12-G12)/ABS(G12))</f>
        <v>0.148148148148148</v>
      </c>
      <c r="I12" s="9" t="s">
        <v>14</v>
      </c>
      <c r="J12" s="10" t="s">
        <v>35</v>
      </c>
    </row>
    <row r="13" customFormat="false" ht="15" hidden="false" customHeight="false" outlineLevel="0" collapsed="false">
      <c r="A13" s="11" t="s">
        <v>36</v>
      </c>
      <c r="B13" s="23" t="s">
        <v>37</v>
      </c>
      <c r="C13" s="12" t="s">
        <v>23</v>
      </c>
      <c r="D13" s="20" t="n">
        <v>0.72</v>
      </c>
      <c r="E13" s="20" t="n">
        <v>0.74</v>
      </c>
      <c r="F13" s="7" t="n">
        <f aca="false">IF(D13=0,"-",(E13-D13)/ABS(D13))</f>
        <v>0.0277777777777778</v>
      </c>
      <c r="G13" s="20" t="n">
        <v>0.71</v>
      </c>
      <c r="H13" s="14" t="n">
        <f aca="false">IF(G13=0,"-",(E13-G13)/ABS(G13))</f>
        <v>0.0422535211267606</v>
      </c>
      <c r="I13" s="15" t="s">
        <v>14</v>
      </c>
      <c r="J13" s="16" t="s">
        <v>38</v>
      </c>
    </row>
    <row r="14" customFormat="false" ht="15" hidden="false" customHeight="false" outlineLevel="0" collapsed="false">
      <c r="A14" s="3" t="s">
        <v>39</v>
      </c>
      <c r="B14" s="23" t="s">
        <v>37</v>
      </c>
      <c r="C14" s="5" t="s">
        <v>40</v>
      </c>
      <c r="D14" s="24" t="n">
        <v>18</v>
      </c>
      <c r="E14" s="24" t="n">
        <v>17</v>
      </c>
      <c r="F14" s="17" t="n">
        <f aca="false">IF(D14=0,"-",(E14-D14)/ABS(D14))</f>
        <v>-0.0555555555555556</v>
      </c>
      <c r="G14" s="24" t="n">
        <v>19</v>
      </c>
      <c r="H14" s="8" t="n">
        <f aca="false">IF(G14=0,"-",(E14-G14)/ABS(G14))</f>
        <v>-0.105263157894737</v>
      </c>
      <c r="I14" s="25" t="s">
        <v>41</v>
      </c>
      <c r="J14" s="10" t="s">
        <v>42</v>
      </c>
    </row>
    <row r="15" customFormat="false" ht="15" hidden="false" customHeight="false" outlineLevel="0" collapsed="false">
      <c r="A15" s="11" t="s">
        <v>43</v>
      </c>
      <c r="B15" s="23" t="s">
        <v>37</v>
      </c>
      <c r="C15" s="12" t="s">
        <v>32</v>
      </c>
      <c r="D15" s="22" t="n">
        <v>3.5</v>
      </c>
      <c r="E15" s="22" t="n">
        <v>3.9</v>
      </c>
      <c r="F15" s="7" t="n">
        <f aca="false">IF(D15=0,"-",(E15-D15)/ABS(D15))</f>
        <v>0.114285714285714</v>
      </c>
      <c r="G15" s="22" t="n">
        <v>3.2</v>
      </c>
      <c r="H15" s="14" t="n">
        <f aca="false">IF(G15=0,"-",(E15-G15)/ABS(G15))</f>
        <v>0.21875</v>
      </c>
      <c r="I15" s="15" t="s">
        <v>14</v>
      </c>
      <c r="J15" s="16" t="s">
        <v>44</v>
      </c>
    </row>
    <row r="16" customFormat="false" ht="15" hidden="false" customHeight="false" outlineLevel="0" collapsed="false">
      <c r="A16" s="3" t="s">
        <v>45</v>
      </c>
      <c r="B16" s="23" t="s">
        <v>37</v>
      </c>
      <c r="C16" s="5" t="s">
        <v>32</v>
      </c>
      <c r="D16" s="26" t="n">
        <v>1.2</v>
      </c>
      <c r="E16" s="26" t="n">
        <v>0.9</v>
      </c>
      <c r="F16" s="17" t="n">
        <f aca="false">IF(D16=0,"-",(E16-D16)/ABS(D16))</f>
        <v>-0.25</v>
      </c>
      <c r="G16" s="26" t="n">
        <v>1.4</v>
      </c>
      <c r="H16" s="8" t="n">
        <f aca="false">IF(G16=0,"-",(E16-G16)/ABS(G16))</f>
        <v>-0.357142857142857</v>
      </c>
      <c r="I16" s="25" t="s">
        <v>41</v>
      </c>
      <c r="J16" s="10" t="s">
        <v>46</v>
      </c>
    </row>
    <row r="17" customFormat="false" ht="15" hidden="false" customHeight="false" outlineLevel="0" collapsed="false">
      <c r="A17" s="11" t="s">
        <v>47</v>
      </c>
      <c r="B17" s="27" t="s">
        <v>48</v>
      </c>
      <c r="C17" s="12" t="s">
        <v>49</v>
      </c>
      <c r="D17" s="28" t="n">
        <v>65</v>
      </c>
      <c r="E17" s="28" t="n">
        <v>72</v>
      </c>
      <c r="F17" s="7" t="n">
        <f aca="false">IF(D17=0,"-",(E17-D17)/ABS(D17))</f>
        <v>0.107692307692308</v>
      </c>
      <c r="G17" s="28" t="n">
        <v>60</v>
      </c>
      <c r="H17" s="14" t="n">
        <f aca="false">IF(G17=0,"-",(E17-G17)/ABS(G17))</f>
        <v>0.2</v>
      </c>
      <c r="I17" s="15" t="s">
        <v>14</v>
      </c>
      <c r="J17" s="16" t="s">
        <v>50</v>
      </c>
    </row>
    <row r="18" customFormat="false" ht="15" hidden="false" customHeight="false" outlineLevel="0" collapsed="false">
      <c r="A18" s="3" t="s">
        <v>51</v>
      </c>
      <c r="B18" s="27" t="s">
        <v>48</v>
      </c>
      <c r="C18" s="5" t="s">
        <v>23</v>
      </c>
      <c r="D18" s="18" t="n">
        <v>0.88</v>
      </c>
      <c r="E18" s="18" t="n">
        <v>0.91</v>
      </c>
      <c r="F18" s="7" t="n">
        <f aca="false">IF(D18=0,"-",(E18-D18)/ABS(D18))</f>
        <v>0.0340909090909091</v>
      </c>
      <c r="G18" s="18" t="n">
        <v>0.87</v>
      </c>
      <c r="H18" s="8" t="n">
        <f aca="false">IF(G18=0,"-",(E18-G18)/ABS(G18))</f>
        <v>0.0459770114942529</v>
      </c>
      <c r="I18" s="9" t="s">
        <v>14</v>
      </c>
      <c r="J18" s="10" t="s">
        <v>52</v>
      </c>
    </row>
    <row r="19" customFormat="false" ht="15" hidden="false" customHeight="false" outlineLevel="0" collapsed="false">
      <c r="A19" s="11" t="s">
        <v>53</v>
      </c>
      <c r="B19" s="27" t="s">
        <v>48</v>
      </c>
      <c r="C19" s="12" t="s">
        <v>23</v>
      </c>
      <c r="D19" s="20" t="n">
        <v>0.015</v>
      </c>
      <c r="E19" s="20" t="n">
        <v>0.012</v>
      </c>
      <c r="F19" s="17" t="n">
        <f aca="false">IF(D19=0,"-",(E19-D19)/ABS(D19))</f>
        <v>-0.2</v>
      </c>
      <c r="G19" s="20" t="n">
        <v>0.018</v>
      </c>
      <c r="H19" s="14" t="n">
        <f aca="false">IF(G19=0,"-",(E19-G19)/ABS(G19))</f>
        <v>-0.333333333333333</v>
      </c>
      <c r="I19" s="29" t="s">
        <v>41</v>
      </c>
      <c r="J19" s="16" t="s">
        <v>54</v>
      </c>
    </row>
    <row r="20" customFormat="false" ht="15" hidden="false" customHeight="false" outlineLevel="0" collapsed="false">
      <c r="A20" s="3" t="s">
        <v>55</v>
      </c>
      <c r="B20" s="27" t="s">
        <v>48</v>
      </c>
      <c r="C20" s="5" t="s">
        <v>23</v>
      </c>
      <c r="D20" s="18" t="n">
        <v>0.9</v>
      </c>
      <c r="E20" s="18" t="n">
        <v>0.93</v>
      </c>
      <c r="F20" s="7" t="n">
        <f aca="false">IF(D20=0,"-",(E20-D20)/ABS(D20))</f>
        <v>0.0333333333333334</v>
      </c>
      <c r="G20" s="18" t="n">
        <v>0.89</v>
      </c>
      <c r="H20" s="8" t="n">
        <f aca="false">IF(G20=0,"-",(E20-G20)/ABS(G20))</f>
        <v>0.0449438202247191</v>
      </c>
      <c r="I20" s="9" t="s">
        <v>14</v>
      </c>
      <c r="J20" s="10"/>
    </row>
    <row r="21" customFormat="false" ht="15" hidden="false" customHeight="false" outlineLevel="0" collapsed="false">
      <c r="A21" s="11" t="s">
        <v>56</v>
      </c>
      <c r="B21" s="30" t="s">
        <v>57</v>
      </c>
      <c r="C21" s="12" t="s">
        <v>29</v>
      </c>
      <c r="D21" s="28" t="n">
        <v>185</v>
      </c>
      <c r="E21" s="28" t="n">
        <v>192</v>
      </c>
      <c r="F21" s="7" t="n">
        <f aca="false">IF(D21=0,"-",(E21-D21)/ABS(D21))</f>
        <v>0.0378378378378378</v>
      </c>
      <c r="G21" s="28" t="n">
        <v>172</v>
      </c>
      <c r="H21" s="14" t="n">
        <f aca="false">IF(G21=0,"-",(E21-G21)/ABS(G21))</f>
        <v>0.116279069767442</v>
      </c>
      <c r="I21" s="15" t="s">
        <v>14</v>
      </c>
      <c r="J21" s="16" t="s">
        <v>58</v>
      </c>
    </row>
    <row r="22" customFormat="false" ht="15" hidden="false" customHeight="false" outlineLevel="0" collapsed="false">
      <c r="A22" s="3" t="s">
        <v>59</v>
      </c>
      <c r="B22" s="30" t="s">
        <v>57</v>
      </c>
      <c r="C22" s="5" t="s">
        <v>29</v>
      </c>
      <c r="D22" s="21" t="n">
        <v>72</v>
      </c>
      <c r="E22" s="21" t="n">
        <v>74</v>
      </c>
      <c r="F22" s="7" t="n">
        <f aca="false">IF(D22=0,"-",(E22-D22)/ABS(D22))</f>
        <v>0.0277777777777778</v>
      </c>
      <c r="G22" s="21" t="n">
        <v>65</v>
      </c>
      <c r="H22" s="8" t="n">
        <f aca="false">IF(G22=0,"-",(E22-G22)/ABS(G22))</f>
        <v>0.138461538461538</v>
      </c>
      <c r="I22" s="9" t="s">
        <v>14</v>
      </c>
      <c r="J22" s="10"/>
    </row>
    <row r="23" customFormat="false" ht="15" hidden="false" customHeight="false" outlineLevel="0" collapsed="false">
      <c r="A23" s="11" t="s">
        <v>60</v>
      </c>
      <c r="B23" s="30" t="s">
        <v>57</v>
      </c>
      <c r="C23" s="12" t="s">
        <v>29</v>
      </c>
      <c r="D23" s="28" t="n">
        <v>24</v>
      </c>
      <c r="E23" s="28" t="n">
        <v>18</v>
      </c>
      <c r="F23" s="17" t="n">
        <f aca="false">IF(D23=0,"-",(E23-D23)/ABS(D23))</f>
        <v>-0.25</v>
      </c>
      <c r="G23" s="28" t="n">
        <v>30</v>
      </c>
      <c r="H23" s="14" t="n">
        <f aca="false">IF(G23=0,"-",(E23-G23)/ABS(G23))</f>
        <v>-0.4</v>
      </c>
      <c r="I23" s="29" t="s">
        <v>41</v>
      </c>
      <c r="J23" s="16" t="s">
        <v>61</v>
      </c>
    </row>
    <row r="24" customFormat="false" ht="15" hidden="false" customHeight="false" outlineLevel="0" collapsed="false">
      <c r="A24" s="3" t="s">
        <v>62</v>
      </c>
      <c r="B24" s="30" t="s">
        <v>57</v>
      </c>
      <c r="C24" s="5" t="s">
        <v>49</v>
      </c>
      <c r="D24" s="21" t="n">
        <v>45</v>
      </c>
      <c r="E24" s="21" t="n">
        <v>51</v>
      </c>
      <c r="F24" s="7" t="n">
        <f aca="false">IF(D24=0,"-",(E24-D24)/ABS(D24))</f>
        <v>0.133333333333333</v>
      </c>
      <c r="G24" s="21" t="n">
        <v>42</v>
      </c>
      <c r="H24" s="8" t="n">
        <f aca="false">IF(G24=0,"-",(E24-G24)/ABS(G24))</f>
        <v>0.214285714285714</v>
      </c>
      <c r="I24" s="9" t="s">
        <v>14</v>
      </c>
      <c r="J24" s="10" t="s">
        <v>63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31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customFormat="false" ht="15" hidden="false" customHeight="false" outlineLevel="0" collapsed="false">
      <c r="A3" s="11" t="s">
        <v>78</v>
      </c>
      <c r="B3" s="13" t="n">
        <v>2.9</v>
      </c>
      <c r="C3" s="13" t="n">
        <v>3</v>
      </c>
      <c r="D3" s="13" t="n">
        <v>3.1</v>
      </c>
      <c r="E3" s="13" t="n">
        <v>3.1</v>
      </c>
      <c r="F3" s="13" t="n">
        <v>3.2</v>
      </c>
      <c r="G3" s="13" t="n">
        <v>3.18</v>
      </c>
      <c r="H3" s="13" t="n">
        <v>3.25</v>
      </c>
      <c r="I3" s="13" t="n">
        <v>3.32</v>
      </c>
      <c r="J3" s="13" t="n">
        <v>3.18</v>
      </c>
      <c r="K3" s="13" t="n">
        <v>3.45</v>
      </c>
      <c r="L3" s="13" t="n">
        <v>3.6</v>
      </c>
      <c r="M3" s="13" t="n">
        <v>3.73</v>
      </c>
    </row>
    <row r="4" customFormat="false" ht="15" hidden="false" customHeight="false" outlineLevel="0" collapsed="false">
      <c r="A4" s="3" t="s">
        <v>79</v>
      </c>
      <c r="B4" s="21" t="n">
        <v>8</v>
      </c>
      <c r="C4" s="21" t="n">
        <v>7</v>
      </c>
      <c r="D4" s="21" t="n">
        <v>9</v>
      </c>
      <c r="E4" s="21" t="n">
        <v>6</v>
      </c>
      <c r="F4" s="21" t="n">
        <v>8</v>
      </c>
      <c r="G4" s="21" t="n">
        <v>7</v>
      </c>
      <c r="H4" s="21" t="n">
        <v>9</v>
      </c>
      <c r="I4" s="21" t="n">
        <v>8</v>
      </c>
      <c r="J4" s="21" t="n">
        <v>5</v>
      </c>
      <c r="K4" s="21" t="n">
        <v>7</v>
      </c>
      <c r="L4" s="21" t="n">
        <v>9</v>
      </c>
      <c r="M4" s="21" t="n">
        <v>9</v>
      </c>
    </row>
    <row r="5" customFormat="false" ht="15" hidden="false" customHeight="false" outlineLevel="0" collapsed="false">
      <c r="A5" s="11" t="s">
        <v>80</v>
      </c>
      <c r="B5" s="20" t="n">
        <v>0.27</v>
      </c>
      <c r="C5" s="20" t="n">
        <v>0.28</v>
      </c>
      <c r="D5" s="20" t="n">
        <v>0.27</v>
      </c>
      <c r="E5" s="20" t="n">
        <v>0.29</v>
      </c>
      <c r="F5" s="20" t="n">
        <v>0.3</v>
      </c>
      <c r="G5" s="20" t="n">
        <v>0.27</v>
      </c>
      <c r="H5" s="20" t="n">
        <v>0.28</v>
      </c>
      <c r="I5" s="20" t="n">
        <v>0.31</v>
      </c>
      <c r="J5" s="20" t="n">
        <v>0.25</v>
      </c>
      <c r="K5" s="20" t="n">
        <v>0.29</v>
      </c>
      <c r="L5" s="20" t="n">
        <v>0.32</v>
      </c>
      <c r="M5" s="20" t="n">
        <v>0.31</v>
      </c>
    </row>
    <row r="6" customFormat="false" ht="15" hidden="false" customHeight="false" outlineLevel="0" collapsed="false">
      <c r="A6" s="3" t="s">
        <v>81</v>
      </c>
      <c r="B6" s="18" t="n">
        <v>0.019</v>
      </c>
      <c r="C6" s="18" t="n">
        <v>0.018</v>
      </c>
      <c r="D6" s="18" t="n">
        <v>0.017</v>
      </c>
      <c r="E6" s="18" t="n">
        <v>0.016</v>
      </c>
      <c r="F6" s="18" t="n">
        <v>0.017</v>
      </c>
      <c r="G6" s="18" t="n">
        <v>0.018</v>
      </c>
      <c r="H6" s="18" t="n">
        <v>0.016</v>
      </c>
      <c r="I6" s="18" t="n">
        <v>0.015</v>
      </c>
      <c r="J6" s="18" t="n">
        <v>0.018</v>
      </c>
      <c r="K6" s="18" t="n">
        <v>0.014</v>
      </c>
      <c r="L6" s="18" t="n">
        <v>0.012</v>
      </c>
      <c r="M6" s="18" t="n">
        <v>0.012</v>
      </c>
    </row>
    <row r="7" customFormat="false" ht="15" hidden="false" customHeight="false" outlineLevel="0" collapsed="false">
      <c r="A7" s="11" t="s">
        <v>47</v>
      </c>
      <c r="B7" s="28" t="n">
        <v>58</v>
      </c>
      <c r="C7" s="28" t="n">
        <v>59</v>
      </c>
      <c r="D7" s="28" t="n">
        <v>60</v>
      </c>
      <c r="E7" s="28" t="n">
        <v>61</v>
      </c>
      <c r="F7" s="28" t="n">
        <v>60</v>
      </c>
      <c r="G7" s="28" t="n">
        <v>60</v>
      </c>
      <c r="H7" s="28" t="n">
        <v>62</v>
      </c>
      <c r="I7" s="28" t="n">
        <v>63</v>
      </c>
      <c r="J7" s="28" t="n">
        <v>60</v>
      </c>
      <c r="K7" s="28" t="n">
        <v>65</v>
      </c>
      <c r="L7" s="28" t="n">
        <v>70</v>
      </c>
      <c r="M7" s="28" t="n">
        <v>72</v>
      </c>
    </row>
    <row r="8" customFormat="false" ht="15" hidden="false" customHeight="false" outlineLevel="0" collapsed="false">
      <c r="A8" s="3" t="s">
        <v>82</v>
      </c>
      <c r="B8" s="18" t="n">
        <v>0.86</v>
      </c>
      <c r="C8" s="18" t="n">
        <v>0.87</v>
      </c>
      <c r="D8" s="18" t="n">
        <v>0.87</v>
      </c>
      <c r="E8" s="18" t="n">
        <v>0.88</v>
      </c>
      <c r="F8" s="18" t="n">
        <v>0.88</v>
      </c>
      <c r="G8" s="18" t="n">
        <v>0.87</v>
      </c>
      <c r="H8" s="18" t="n">
        <v>0.88</v>
      </c>
      <c r="I8" s="18" t="n">
        <v>0.89</v>
      </c>
      <c r="J8" s="18" t="n">
        <v>0.87</v>
      </c>
      <c r="K8" s="18" t="n">
        <v>0.89</v>
      </c>
      <c r="L8" s="18" t="n">
        <v>0.9</v>
      </c>
      <c r="M8" s="18" t="n">
        <v>0.91</v>
      </c>
    </row>
    <row r="9" customFormat="false" ht="15" hidden="false" customHeight="false" outlineLevel="0" collapsed="false">
      <c r="A9" s="11" t="s">
        <v>83</v>
      </c>
      <c r="B9" s="28" t="n">
        <v>162</v>
      </c>
      <c r="C9" s="28" t="n">
        <v>165</v>
      </c>
      <c r="D9" s="28" t="n">
        <v>167</v>
      </c>
      <c r="E9" s="28" t="n">
        <v>169</v>
      </c>
      <c r="F9" s="28" t="n">
        <v>170</v>
      </c>
      <c r="G9" s="28" t="n">
        <v>172</v>
      </c>
      <c r="H9" s="28" t="n">
        <v>175</v>
      </c>
      <c r="I9" s="28" t="n">
        <v>178</v>
      </c>
      <c r="J9" s="28" t="n">
        <v>172</v>
      </c>
      <c r="K9" s="28" t="n">
        <v>183</v>
      </c>
      <c r="L9" s="28" t="n">
        <v>188</v>
      </c>
      <c r="M9" s="28" t="n">
        <v>192</v>
      </c>
    </row>
    <row r="10" customFormat="false" ht="15" hidden="false" customHeight="false" outlineLevel="0" collapsed="false">
      <c r="A10" s="3" t="s">
        <v>84</v>
      </c>
      <c r="B10" s="6" t="n">
        <v>14.2</v>
      </c>
      <c r="C10" s="6" t="n">
        <v>15.1</v>
      </c>
      <c r="D10" s="6" t="n">
        <v>15.8</v>
      </c>
      <c r="E10" s="6" t="n">
        <v>16.2</v>
      </c>
      <c r="F10" s="6" t="n">
        <v>16.9</v>
      </c>
      <c r="G10" s="6" t="n">
        <v>16.4</v>
      </c>
      <c r="H10" s="6" t="n">
        <v>17.1</v>
      </c>
      <c r="I10" s="6" t="n">
        <v>17.8</v>
      </c>
      <c r="J10" s="6" t="n">
        <v>16.2</v>
      </c>
      <c r="K10" s="6" t="n">
        <v>18.4</v>
      </c>
      <c r="L10" s="6" t="n">
        <v>19.1</v>
      </c>
      <c r="M10" s="6" t="n">
        <v>19.8</v>
      </c>
    </row>
    <row r="11" customFormat="false" ht="15" hidden="false" customHeight="false" outlineLevel="0" collapsed="false">
      <c r="A11" s="11" t="s">
        <v>85</v>
      </c>
      <c r="B11" s="20" t="n">
        <v>0.7</v>
      </c>
      <c r="C11" s="20" t="n">
        <v>0.7</v>
      </c>
      <c r="D11" s="20" t="n">
        <v>0.71</v>
      </c>
      <c r="E11" s="20" t="n">
        <v>0.71</v>
      </c>
      <c r="F11" s="20" t="n">
        <v>0.71</v>
      </c>
      <c r="G11" s="20" t="n">
        <v>0.71</v>
      </c>
      <c r="H11" s="20" t="n">
        <v>0.72</v>
      </c>
      <c r="I11" s="20" t="n">
        <v>0.72</v>
      </c>
      <c r="J11" s="20" t="n">
        <v>0.71</v>
      </c>
      <c r="K11" s="20" t="n">
        <v>0.73</v>
      </c>
      <c r="L11" s="20" t="n">
        <v>0.74</v>
      </c>
      <c r="M11" s="20" t="n">
        <v>0.74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86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87</v>
      </c>
      <c r="B2" s="2" t="s">
        <v>88</v>
      </c>
      <c r="C2" s="2" t="s">
        <v>1</v>
      </c>
      <c r="D2" s="2" t="s">
        <v>89</v>
      </c>
      <c r="E2" s="2" t="s">
        <v>90</v>
      </c>
      <c r="F2" s="2" t="s">
        <v>91</v>
      </c>
      <c r="G2" s="2" t="s">
        <v>92</v>
      </c>
    </row>
    <row r="3" customFormat="false" ht="15" hidden="false" customHeight="false" outlineLevel="0" collapsed="false">
      <c r="A3" s="32" t="s">
        <v>93</v>
      </c>
      <c r="B3" s="33" t="s">
        <v>94</v>
      </c>
      <c r="C3" s="34" t="s">
        <v>95</v>
      </c>
      <c r="D3" s="13" t="n">
        <v>42</v>
      </c>
      <c r="E3" s="13" t="n">
        <v>44.8</v>
      </c>
      <c r="F3" s="35" t="s">
        <v>96</v>
      </c>
      <c r="G3" s="16" t="s">
        <v>97</v>
      </c>
    </row>
    <row r="4" customFormat="false" ht="15" hidden="false" customHeight="false" outlineLevel="0" collapsed="false">
      <c r="A4" s="32" t="s">
        <v>93</v>
      </c>
      <c r="B4" s="33" t="s">
        <v>94</v>
      </c>
      <c r="C4" s="36" t="s">
        <v>28</v>
      </c>
      <c r="D4" s="21" t="n">
        <v>28</v>
      </c>
      <c r="E4" s="21" t="n">
        <v>25</v>
      </c>
      <c r="F4" s="37" t="s">
        <v>98</v>
      </c>
      <c r="G4" s="10" t="s">
        <v>99</v>
      </c>
    </row>
    <row r="5" customFormat="false" ht="15" hidden="false" customHeight="false" outlineLevel="0" collapsed="false">
      <c r="A5" s="32" t="s">
        <v>93</v>
      </c>
      <c r="B5" s="33" t="s">
        <v>94</v>
      </c>
      <c r="C5" s="34" t="s">
        <v>34</v>
      </c>
      <c r="D5" s="20" t="n">
        <v>0.28</v>
      </c>
      <c r="E5" s="20" t="n">
        <v>0.31</v>
      </c>
      <c r="F5" s="35" t="s">
        <v>96</v>
      </c>
      <c r="G5" s="16" t="s">
        <v>100</v>
      </c>
    </row>
    <row r="6" customFormat="false" ht="15" hidden="false" customHeight="false" outlineLevel="0" collapsed="false">
      <c r="A6" s="32" t="s">
        <v>101</v>
      </c>
      <c r="B6" s="33" t="s">
        <v>102</v>
      </c>
      <c r="C6" s="36" t="s">
        <v>103</v>
      </c>
      <c r="D6" s="18" t="n">
        <v>8</v>
      </c>
      <c r="E6" s="18" t="n">
        <v>9.2</v>
      </c>
      <c r="F6" s="35" t="s">
        <v>96</v>
      </c>
      <c r="G6" s="10" t="s">
        <v>104</v>
      </c>
    </row>
    <row r="7" customFormat="false" ht="15" hidden="false" customHeight="false" outlineLevel="0" collapsed="false">
      <c r="A7" s="32" t="s">
        <v>101</v>
      </c>
      <c r="B7" s="33" t="s">
        <v>102</v>
      </c>
      <c r="C7" s="34" t="s">
        <v>105</v>
      </c>
      <c r="D7" s="28" t="n">
        <v>420</v>
      </c>
      <c r="E7" s="28" t="n">
        <v>398</v>
      </c>
      <c r="F7" s="37" t="s">
        <v>98</v>
      </c>
      <c r="G7" s="16" t="s">
        <v>106</v>
      </c>
    </row>
    <row r="8" customFormat="false" ht="15" hidden="false" customHeight="false" outlineLevel="0" collapsed="false">
      <c r="A8" s="32" t="s">
        <v>101</v>
      </c>
      <c r="B8" s="33" t="s">
        <v>102</v>
      </c>
      <c r="C8" s="36" t="s">
        <v>107</v>
      </c>
      <c r="D8" s="21" t="n">
        <v>38</v>
      </c>
      <c r="E8" s="21" t="n">
        <v>35</v>
      </c>
      <c r="F8" s="35" t="s">
        <v>96</v>
      </c>
      <c r="G8" s="10" t="s">
        <v>108</v>
      </c>
    </row>
    <row r="9" customFormat="false" ht="15" hidden="false" customHeight="false" outlineLevel="0" collapsed="false">
      <c r="A9" s="32" t="s">
        <v>109</v>
      </c>
      <c r="B9" s="33" t="s">
        <v>110</v>
      </c>
      <c r="C9" s="34" t="s">
        <v>111</v>
      </c>
      <c r="D9" s="28" t="n">
        <v>240</v>
      </c>
      <c r="E9" s="28" t="n">
        <v>228</v>
      </c>
      <c r="F9" s="37" t="s">
        <v>98</v>
      </c>
      <c r="G9" s="16" t="s">
        <v>112</v>
      </c>
    </row>
    <row r="10" customFormat="false" ht="15" hidden="false" customHeight="false" outlineLevel="0" collapsed="false">
      <c r="A10" s="32" t="s">
        <v>109</v>
      </c>
      <c r="B10" s="33" t="s">
        <v>110</v>
      </c>
      <c r="C10" s="36" t="s">
        <v>113</v>
      </c>
      <c r="D10" s="21" t="n">
        <v>22</v>
      </c>
      <c r="E10" s="21" t="n">
        <v>25</v>
      </c>
      <c r="F10" s="35" t="s">
        <v>96</v>
      </c>
      <c r="G10" s="10" t="s">
        <v>114</v>
      </c>
    </row>
    <row r="11" customFormat="false" ht="15" hidden="false" customHeight="false" outlineLevel="0" collapsed="false">
      <c r="A11" s="32" t="s">
        <v>109</v>
      </c>
      <c r="B11" s="33" t="s">
        <v>110</v>
      </c>
      <c r="C11" s="34" t="s">
        <v>115</v>
      </c>
      <c r="D11" s="28" t="n">
        <v>3</v>
      </c>
      <c r="E11" s="28" t="n">
        <v>4</v>
      </c>
      <c r="F11" s="35" t="s">
        <v>96</v>
      </c>
      <c r="G11" s="16" t="s">
        <v>116</v>
      </c>
    </row>
    <row r="12" customFormat="false" ht="15" hidden="false" customHeight="false" outlineLevel="0" collapsed="false">
      <c r="A12" s="32" t="s">
        <v>117</v>
      </c>
      <c r="B12" s="33" t="s">
        <v>118</v>
      </c>
      <c r="C12" s="36" t="s">
        <v>119</v>
      </c>
      <c r="D12" s="21" t="n">
        <v>65</v>
      </c>
      <c r="E12" s="21" t="n">
        <v>72</v>
      </c>
      <c r="F12" s="35" t="s">
        <v>96</v>
      </c>
      <c r="G12" s="10" t="s">
        <v>120</v>
      </c>
    </row>
    <row r="13" customFormat="false" ht="15" hidden="false" customHeight="false" outlineLevel="0" collapsed="false">
      <c r="A13" s="32" t="s">
        <v>117</v>
      </c>
      <c r="B13" s="33" t="s">
        <v>118</v>
      </c>
      <c r="C13" s="34" t="s">
        <v>82</v>
      </c>
      <c r="D13" s="20" t="n">
        <v>0.88</v>
      </c>
      <c r="E13" s="20" t="n">
        <v>0.91</v>
      </c>
      <c r="F13" s="35" t="s">
        <v>96</v>
      </c>
      <c r="G13" s="16"/>
    </row>
    <row r="14" customFormat="false" ht="15" hidden="false" customHeight="false" outlineLevel="0" collapsed="false">
      <c r="A14" s="32" t="s">
        <v>117</v>
      </c>
      <c r="B14" s="33" t="s">
        <v>118</v>
      </c>
      <c r="C14" s="36" t="s">
        <v>81</v>
      </c>
      <c r="D14" s="18" t="n">
        <v>0.015</v>
      </c>
      <c r="E14" s="18" t="n">
        <v>0.012</v>
      </c>
      <c r="F14" s="35" t="s">
        <v>96</v>
      </c>
      <c r="G14" s="10" t="s">
        <v>121</v>
      </c>
    </row>
    <row r="15" customFormat="false" ht="15" hidden="false" customHeight="false" outlineLevel="0" collapsed="false">
      <c r="A15" s="32" t="s">
        <v>122</v>
      </c>
      <c r="B15" s="33" t="s">
        <v>123</v>
      </c>
      <c r="C15" s="34" t="s">
        <v>45</v>
      </c>
      <c r="D15" s="20" t="n">
        <v>1.2</v>
      </c>
      <c r="E15" s="20" t="n">
        <v>0.9</v>
      </c>
      <c r="F15" s="35" t="s">
        <v>96</v>
      </c>
      <c r="G15" s="16" t="s">
        <v>124</v>
      </c>
    </row>
    <row r="16" customFormat="false" ht="15" hidden="false" customHeight="false" outlineLevel="0" collapsed="false">
      <c r="A16" s="32" t="s">
        <v>122</v>
      </c>
      <c r="B16" s="33" t="s">
        <v>123</v>
      </c>
      <c r="C16" s="36" t="s">
        <v>85</v>
      </c>
      <c r="D16" s="18" t="n">
        <v>0.72</v>
      </c>
      <c r="E16" s="18" t="n">
        <v>0.74</v>
      </c>
      <c r="F16" s="35" t="s">
        <v>96</v>
      </c>
      <c r="G16" s="10" t="s">
        <v>125</v>
      </c>
    </row>
    <row r="17" customFormat="false" ht="15" hidden="false" customHeight="false" outlineLevel="0" collapsed="false">
      <c r="A17" s="32" t="s">
        <v>126</v>
      </c>
      <c r="B17" s="33" t="s">
        <v>127</v>
      </c>
      <c r="C17" s="34" t="s">
        <v>128</v>
      </c>
      <c r="D17" s="28" t="n">
        <v>24</v>
      </c>
      <c r="E17" s="28" t="n">
        <v>26</v>
      </c>
      <c r="F17" s="35" t="s">
        <v>96</v>
      </c>
      <c r="G17" s="16" t="s">
        <v>129</v>
      </c>
    </row>
    <row r="18" customFormat="false" ht="15" hidden="false" customHeight="false" outlineLevel="0" collapsed="false">
      <c r="A18" s="32" t="s">
        <v>126</v>
      </c>
      <c r="B18" s="33" t="s">
        <v>127</v>
      </c>
      <c r="C18" s="36" t="s">
        <v>62</v>
      </c>
      <c r="D18" s="21" t="n">
        <v>45</v>
      </c>
      <c r="E18" s="21" t="n">
        <v>51</v>
      </c>
      <c r="F18" s="35" t="s">
        <v>96</v>
      </c>
      <c r="G18" s="10" t="s">
        <v>130</v>
      </c>
    </row>
    <row r="19" customFormat="false" ht="15" hidden="false" customHeight="false" outlineLevel="0" collapsed="false">
      <c r="A19" s="32" t="s">
        <v>126</v>
      </c>
      <c r="B19" s="33" t="s">
        <v>127</v>
      </c>
      <c r="C19" s="34" t="s">
        <v>131</v>
      </c>
      <c r="D19" s="20" t="n">
        <v>0.08</v>
      </c>
      <c r="E19" s="20" t="n">
        <v>0.09</v>
      </c>
      <c r="F19" s="37" t="s">
        <v>98</v>
      </c>
      <c r="G19" s="16" t="s">
        <v>132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2026-04-05T03:58:39Z</dcterms:created>
  <dc:creator>openpyxl</dc:creator>
  <dc:description/>
  <dc:language>en-US</dc:language>
  <cp:lastModifiedBy/>
  <dcterms:modified xsi:type="dcterms:W3CDTF">2026-04-05T03:58:39Z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