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130745734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1872f324d4614"/>
    <x:sheet xmlns:r="http://schemas.openxmlformats.org/officeDocument/2006/relationships" name="Sales Data" sheetId="2" r:id="Ra883e88067584591"/>
    <x:sheet xmlns:r="http://schemas.openxmlformats.org/officeDocument/2006/relationships" name="Lists" sheetId="3" r:id="Rbd7cc3a162b4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$#,##0.00"/>
    <x:numFmt numFmtId="203" formatCode="0%"/>
    <x:numFmt numFmtId="204" formatCode="mmm yyyy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E3A8A"/>
      <x:name val="Carlito"/>
    </x:font>
    <x:font>
      <x:b/>
      <x:sz val="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334155"/>
      </x:patternFill>
    </x:fill>
    <x:fill>
      <x:patternFill patternType="solid">
        <x:fgColor rgb="1D4ED8"/>
      </x:patternFill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EFF6F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202" fontId="4" fillId="6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0"/>
    </x:xf>
    <x:xf numFmtId="204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92400E"/>
      </x:font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4831617164b90" /><Relationship Type="http://schemas.openxmlformats.org/officeDocument/2006/relationships/theme" Target="/xl/theme/theme1.xml" Id="R9650ffa9172f403a" /><Relationship Type="http://schemas.openxmlformats.org/officeDocument/2006/relationships/sharedStrings" Target="/xl/sharedStrings.xml" Id="Rab7b344a47c04bb2" /><Relationship Type="http://schemas.openxmlformats.org/officeDocument/2006/relationships/worksheet" Target="/xl/worksheets/sheet1.xml" Id="Rd681872f324d4614" /><Relationship Type="http://schemas.openxmlformats.org/officeDocument/2006/relationships/worksheet" Target="/xl/worksheets/sheet2.xml" Id="Ra883e88067584591" /><Relationship Type="http://schemas.openxmlformats.org/officeDocument/2006/relationships/worksheet" Target="/xl/worksheets/sheet3.xml" Id="Rbd7cc3a162b442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768e0521594aba" /><Relationship Type="http://schemas.openxmlformats.org/officeDocument/2006/relationships/chart" Target="/xl/drawings/charts/chart2.xml" Id="R4c26bf60bdc44e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Revenue, Cost &amp; Profit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Revenue</c:v>
          </c:tx>
          <c:marker/>
          <c:cat>
            <c:strRef>
              <c:f>'Summary'!$A$8:$A$19</c:f>
              <c:strCache>
                <c:ptCount val="0"/>
              </c:strCache>
            </c:strRef>
          </c:cat>
          <c:val>
            <c:numRef>
              <c:f>'Summary'!$B$8:$B$19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Cost</c:v>
          </c:tx>
          <c:marker/>
          <c:cat>
            <c:strRef>
              <c:f>'Summary'!$A$8:$A$19</c:f>
              <c:strCache>
                <c:ptCount val="0"/>
              </c:strCache>
            </c:strRef>
          </c:cat>
          <c:val>
            <c:numRef>
              <c:f>'Summary'!$C$8:$C$19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Profit</c:v>
          </c:tx>
          <c:marker/>
          <c:cat>
            <c:strRef>
              <c:f>'Summary'!$A$8:$A$19</c:f>
              <c:strCache>
                <c:ptCount val="0"/>
              </c:strCache>
            </c:strRef>
          </c:cat>
          <c:val>
            <c:numRef>
              <c:f>'Summary'!$D$8:$D$19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Profit by Region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'Summary'!$F$8:$F$12</c:f>
              <c:strCache>
                <c:ptCount val="0"/>
              </c:strCache>
            </c:strRef>
          </c:cat>
          <c:val>
            <c:numRef>
              <c:f>'Summary'!$G$8:$G$12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'Summary'!$F$8:$F$12</c:f>
              <c:strCache>
                <c:ptCount val="0"/>
              </c:strCache>
            </c:strRef>
          </c:cat>
          <c:val>
            <c:numRef>
              <c:f>'Summary'!$H$8:$H$12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768e0521594aba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26bf60bdc44ea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ummaryTable" displayName="MonthlySummaryTable" ref="A7:D19" headerRowCount="1">
  <x:tableColumns count="4">
    <x:tableColumn id="1" name="Month"/>
    <x:tableColumn id="2" name="Revenue"/>
    <x:tableColumn id="3" name="Cost"/>
    <x:tableColumn id="4" name="Profit"/>
  </x:tableColumns>
  <x:tableStyleInfo name="TableStyleMedium2" showRowStripes="1"/>
</x:table>
</file>

<file path=xl/tables/table2.xml><?xml version="1.0" encoding="utf-8"?>
<x:table xmlns:x="http://schemas.openxmlformats.org/spreadsheetml/2006/main" id="2" name="RegionSummaryTable" displayName="RegionSummaryTable" ref="F7:H12" headerRowCount="1">
  <x:tableColumns count="3">
    <x:tableColumn id="1" name="Region"/>
    <x:tableColumn id="2" name="Revenue"/>
    <x:tableColumn id="3" name="Profit"/>
  </x:tableColumns>
  <x:tableStyleInfo name="TableStyleMedium2" showRowStripes="1"/>
</x:table>
</file>

<file path=xl/tables/table3.xml><?xml version="1.0" encoding="utf-8"?>
<x:table xmlns:x="http://schemas.openxmlformats.org/spreadsheetml/2006/main" id="1" name="SalesDataTable" displayName="SalesDataTable" ref="A1:P1001" headerRowCount="1">
  <x:tableColumns count="16">
    <x:tableColumn id="1" name="Order ID"/>
    <x:tableColumn id="2" name="Order Date"/>
    <x:tableColumn id="3" name="Region"/>
    <x:tableColumn id="4" name="Sales Rep"/>
    <x:tableColumn id="5" name="Customer"/>
    <x:tableColumn id="6" name="Product Category"/>
    <x:tableColumn id="7" name="Product"/>
    <x:tableColumn id="8" name="Units"/>
    <x:tableColumn id="9" name="Unit Price"/>
    <x:tableColumn id="10" name="Discount %"/>
    <x:tableColumn id="11" name="Revenue"/>
    <x:tableColumn id="12" name="Cost"/>
    <x:tableColumn id="13" name="Profit"/>
    <x:tableColumn id="14" name="Channel"/>
    <x:tableColumn id="15" name="Payment Method"/>
    <x:tableColumn id="16" name="Order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e5397b957e4e06" /><Relationship Type="http://schemas.openxmlformats.org/officeDocument/2006/relationships/table" Target="/xl/tables/table1.xml" Id="R453857f3d35e4174" /><Relationship Type="http://schemas.openxmlformats.org/officeDocument/2006/relationships/table" Target="/xl/tables/table2.xml" Id="R4a7f2ec7577648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775eabc90ee4a3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6" max="6" width="12" hidden="0" customWidth="1"/>
    <x:col min="7" max="7" width="14" hidden="0" customWidth="1"/>
    <x:col min="8" max="8" width="14" hidden="0" customWidth="1"/>
    <x:col min="5" max="5" width="14" hidden="0" customWidth="1"/>
  </x:cols>
  <x:sheetData>
    <x:row r="1" ht="28" customHeight="1">
      <x:c r="A1" s="16" t="str">
        <x:v>Fake Sales Data - Testing Workbook</x:v>
      </x:c>
    </x:row>
    <x:row r="3">
      <x:c r="A3" s="19" t="str">
        <x:v>Total Orders</x:v>
      </x:c>
      <x:c r="B3" s="19" t="str">
        <x:v>Total Revenue</x:v>
      </x:c>
      <x:c r="C3" s="19" t="str">
        <x:v>Total Cost</x:v>
      </x:c>
      <x:c r="D3" s="19" t="str">
        <x:v>Total Profit</x:v>
      </x:c>
    </x:row>
    <x:row r="4">
      <x:c r="A4" s="22" t="n">
        <x:f>COUNTA('Sales Data'!A2:A1001)</x:f>
        <x:v>1000</x:v>
      </x:c>
      <x:c r="B4" s="23" t="n">
        <x:f>SUM('Sales Data'!K2:K1001)</x:f>
        <x:v>9813564.5</x:v>
      </x:c>
      <x:c r="C4" s="23" t="n">
        <x:f>SUM('Sales Data'!L2:L1001)</x:f>
        <x:v>6571389.300000004</x:v>
      </x:c>
      <x:c r="D4" s="23" t="n">
        <x:f>SUM('Sales Data'!M2:M1001)</x:f>
        <x:v>3242175.2000000025</x:v>
      </x:c>
    </x:row>
    <x:row r="7">
      <x:c r="A7" s="27" t="str">
        <x:v>Month</x:v>
      </x:c>
      <x:c r="B7" s="27" t="str">
        <x:v>Revenue</x:v>
      </x:c>
      <x:c r="C7" s="27" t="str">
        <x:v>Cost</x:v>
      </x:c>
      <x:c r="D7" s="27" t="str">
        <x:v>Profit</x:v>
      </x:c>
      <x:c r="E7" s="8"/>
      <x:c r="F7" s="27" t="str">
        <x:v>Region</x:v>
      </x:c>
      <x:c r="G7" s="27" t="str">
        <x:v>Revenue</x:v>
      </x:c>
      <x:c r="H7" s="27" t="str">
        <x:v>Profit</x:v>
      </x:c>
    </x:row>
    <x:row r="8">
      <x:c r="A8" s="28" t="n">
        <x:v>45658</x:v>
      </x:c>
      <x:c r="B8" s="11" t="n">
        <x:f>SUMIFS('Sales Data'!K:K,'Sales Data'!B:B,"&gt;="&amp;A8,'Sales Data'!B:B,"&lt;"&amp;EDATE(A8,1))</x:f>
        <x:v>618516.75</x:v>
      </x:c>
      <x:c r="C8" s="11" t="n">
        <x:f>SUMIFS('Sales Data'!L:L,'Sales Data'!B:B,"&gt;="&amp;A8,'Sales Data'!B:B,"&lt;"&amp;EDATE(A8,1))</x:f>
        <x:v>424641.1000000001</x:v>
      </x:c>
      <x:c r="D8" s="11" t="n">
        <x:f>B8-C8</x:f>
        <x:v>193875.6499999999</x:v>
      </x:c>
      <x:c r="E8" s="8"/>
      <x:c r="F8" s="8" t="str">
        <x:v>North</x:v>
      </x:c>
      <x:c r="G8" s="11" t="n">
        <x:f>SUMIFS('Sales Data'!K:K,'Sales Data'!C:C,F8)</x:f>
        <x:v>1649833.5</x:v>
      </x:c>
      <x:c r="H8" s="11" t="n">
        <x:f>SUMIFS('Sales Data'!M:M,'Sales Data'!C:C,F8)</x:f>
        <x:v>542091.9</x:v>
      </x:c>
    </x:row>
    <x:row r="9">
      <x:c r="A9" s="28" t="n">
        <x:v>45689</x:v>
      </x:c>
      <x:c r="B9" s="11" t="n">
        <x:f>SUMIFS('Sales Data'!K:K,'Sales Data'!B:B,"&gt;="&amp;A9,'Sales Data'!B:B,"&lt;"&amp;EDATE(A9,1))</x:f>
        <x:v>873426</x:v>
      </x:c>
      <x:c r="C9" s="11" t="n">
        <x:f>SUMIFS('Sales Data'!L:L,'Sales Data'!B:B,"&gt;="&amp;A9,'Sales Data'!B:B,"&lt;"&amp;EDATE(A9,1))</x:f>
        <x:v>587102.8000000002</x:v>
      </x:c>
      <x:c r="D9" s="11" t="n">
        <x:f>B9-C9</x:f>
        <x:v>286323.19999999984</x:v>
      </x:c>
      <x:c r="E9" s="8"/>
      <x:c r="F9" s="8" t="str">
        <x:v>South</x:v>
      </x:c>
      <x:c r="G9" s="11" t="n">
        <x:f>SUMIFS('Sales Data'!K:K,'Sales Data'!C:C,F9)</x:f>
        <x:v>1739364.25</x:v>
      </x:c>
      <x:c r="H9" s="11" t="n">
        <x:f>SUMIFS('Sales Data'!M:M,'Sales Data'!C:C,F9)</x:f>
        <x:v>568391.95</x:v>
      </x:c>
    </x:row>
    <x:row r="10">
      <x:c r="A10" s="28" t="n">
        <x:v>45717</x:v>
      </x:c>
      <x:c r="B10" s="11" t="n">
        <x:f>SUMIFS('Sales Data'!K:K,'Sales Data'!B:B,"&gt;="&amp;A10,'Sales Data'!B:B,"&lt;"&amp;EDATE(A10,1))</x:f>
        <x:v>913723</x:v>
      </x:c>
      <x:c r="C10" s="11" t="n">
        <x:f>SUMIFS('Sales Data'!L:L,'Sales Data'!B:B,"&gt;="&amp;A10,'Sales Data'!B:B,"&lt;"&amp;EDATE(A10,1))</x:f>
        <x:v>607246.6000000001</x:v>
      </x:c>
      <x:c r="D10" s="11" t="n">
        <x:f>B10-C10</x:f>
        <x:v>306476.3999999999</x:v>
      </x:c>
      <x:c r="E10" s="8"/>
      <x:c r="F10" s="8" t="str">
        <x:v>East</x:v>
      </x:c>
      <x:c r="G10" s="11" t="n">
        <x:f>SUMIFS('Sales Data'!K:K,'Sales Data'!C:C,F10)</x:f>
        <x:v>2240130</x:v>
      </x:c>
      <x:c r="H10" s="11" t="n">
        <x:f>SUMIFS('Sales Data'!M:M,'Sales Data'!C:C,F10)</x:f>
        <x:v>743251.5999999996</x:v>
      </x:c>
    </x:row>
    <x:row r="11">
      <x:c r="A11" s="28" t="n">
        <x:v>45748</x:v>
      </x:c>
      <x:c r="B11" s="11" t="n">
        <x:f>SUMIFS('Sales Data'!K:K,'Sales Data'!B:B,"&gt;="&amp;A11,'Sales Data'!B:B,"&lt;"&amp;EDATE(A11,1))</x:f>
        <x:v>646511.25</x:v>
      </x:c>
      <x:c r="C11" s="11" t="n">
        <x:f>SUMIFS('Sales Data'!L:L,'Sales Data'!B:B,"&gt;="&amp;A11,'Sales Data'!B:B,"&lt;"&amp;EDATE(A11,1))</x:f>
        <x:v>438067.2</x:v>
      </x:c>
      <x:c r="D11" s="11" t="n">
        <x:f>B11-C11</x:f>
        <x:v>208444.05</x:v>
      </x:c>
      <x:c r="E11" s="8"/>
      <x:c r="F11" s="8" t="str">
        <x:v>West</x:v>
      </x:c>
      <x:c r="G11" s="11" t="n">
        <x:f>SUMIFS('Sales Data'!K:K,'Sales Data'!C:C,F11)</x:f>
        <x:v>2151559.25</x:v>
      </x:c>
      <x:c r="H11" s="11" t="n">
        <x:f>SUMIFS('Sales Data'!M:M,'Sales Data'!C:C,F11)</x:f>
        <x:v>721637.75</x:v>
      </x:c>
    </x:row>
    <x:row r="12">
      <x:c r="A12" s="28" t="n">
        <x:v>45778</x:v>
      </x:c>
      <x:c r="B12" s="11" t="n">
        <x:f>SUMIFS('Sales Data'!K:K,'Sales Data'!B:B,"&gt;="&amp;A12,'Sales Data'!B:B,"&lt;"&amp;EDATE(A12,1))</x:f>
        <x:v>960522.75</x:v>
      </x:c>
      <x:c r="C12" s="11" t="n">
        <x:f>SUMIFS('Sales Data'!L:L,'Sales Data'!B:B,"&gt;="&amp;A12,'Sales Data'!B:B,"&lt;"&amp;EDATE(A12,1))</x:f>
        <x:v>635899.9000000001</x:v>
      </x:c>
      <x:c r="D12" s="11" t="n">
        <x:f>B12-C12</x:f>
        <x:v>324622.84999999986</x:v>
      </x:c>
      <x:c r="E12" s="8"/>
      <x:c r="F12" s="8" t="str">
        <x:v>Central</x:v>
      </x:c>
      <x:c r="G12" s="11" t="n">
        <x:f>SUMIFS('Sales Data'!K:K,'Sales Data'!C:C,F12)</x:f>
        <x:v>2032677.5</x:v>
      </x:c>
      <x:c r="H12" s="11" t="n">
        <x:f>SUMIFS('Sales Data'!M:M,'Sales Data'!C:C,F12)</x:f>
        <x:v>666801.9999999999</x:v>
      </x:c>
    </x:row>
    <x:row r="13">
      <x:c r="A13" s="28" t="n">
        <x:v>45809</x:v>
      </x:c>
      <x:c r="B13" s="11" t="n">
        <x:f>SUMIFS('Sales Data'!K:K,'Sales Data'!B:B,"&gt;="&amp;A13,'Sales Data'!B:B,"&lt;"&amp;EDATE(A13,1))</x:f>
        <x:v>809016.5</x:v>
      </x:c>
      <x:c r="C13" s="11" t="n">
        <x:f>SUMIFS('Sales Data'!L:L,'Sales Data'!B:B,"&gt;="&amp;A13,'Sales Data'!B:B,"&lt;"&amp;EDATE(A13,1))</x:f>
        <x:v>527765.7000000001</x:v>
      </x:c>
      <x:c r="D13" s="11" t="n">
        <x:f>B13-C13</x:f>
        <x:v>281250.79999999993</x:v>
      </x:c>
      <x:c r="E13" s="8"/>
      <x:c r="F13" s="8"/>
      <x:c r="G13" s="8"/>
      <x:c r="H13" s="8"/>
    </x:row>
    <x:row r="14">
      <x:c r="A14" s="28" t="n">
        <x:v>45839</x:v>
      </x:c>
      <x:c r="B14" s="11" t="n">
        <x:f>SUMIFS('Sales Data'!K:K,'Sales Data'!B:B,"&gt;="&amp;A14,'Sales Data'!B:B,"&lt;"&amp;EDATE(A14,1))</x:f>
        <x:v>806572.5</x:v>
      </x:c>
      <x:c r="C14" s="11" t="n">
        <x:f>SUMIFS('Sales Data'!L:L,'Sales Data'!B:B,"&gt;="&amp;A14,'Sales Data'!B:B,"&lt;"&amp;EDATE(A14,1))</x:f>
        <x:v>543616.0000000001</x:v>
      </x:c>
      <x:c r="D14" s="11" t="n">
        <x:f>B14-C14</x:f>
        <x:v>262956.4999999999</x:v>
      </x:c>
      <x:c r="E14" s="8"/>
      <x:c r="F14" s="8"/>
      <x:c r="G14" s="8"/>
      <x:c r="H14" s="8"/>
    </x:row>
    <x:row r="15">
      <x:c r="A15" s="28" t="n">
        <x:v>45870</x:v>
      </x:c>
      <x:c r="B15" s="11" t="n">
        <x:f>SUMIFS('Sales Data'!K:K,'Sales Data'!B:B,"&gt;="&amp;A15,'Sales Data'!B:B,"&lt;"&amp;EDATE(A15,1))</x:f>
        <x:v>874292.5</x:v>
      </x:c>
      <x:c r="C15" s="11" t="n">
        <x:f>SUMIFS('Sales Data'!L:L,'Sales Data'!B:B,"&gt;="&amp;A15,'Sales Data'!B:B,"&lt;"&amp;EDATE(A15,1))</x:f>
        <x:v>587645.2999999999</x:v>
      </x:c>
      <x:c r="D15" s="11" t="n">
        <x:f>B15-C15</x:f>
        <x:v>286647.20000000007</x:v>
      </x:c>
      <x:c r="E15" s="8"/>
      <x:c r="F15" s="8"/>
      <x:c r="G15" s="8"/>
      <x:c r="H15" s="8"/>
    </x:row>
    <x:row r="16">
      <x:c r="A16" s="28" t="n">
        <x:v>45901</x:v>
      </x:c>
      <x:c r="B16" s="11" t="n">
        <x:f>SUMIFS('Sales Data'!K:K,'Sales Data'!B:B,"&gt;="&amp;A16,'Sales Data'!B:B,"&lt;"&amp;EDATE(A16,1))</x:f>
        <x:v>845208.75</x:v>
      </x:c>
      <x:c r="C16" s="11" t="n">
        <x:f>SUMIFS('Sales Data'!L:L,'Sales Data'!B:B,"&gt;="&amp;A16,'Sales Data'!B:B,"&lt;"&amp;EDATE(A16,1))</x:f>
        <x:v>564417</x:v>
      </x:c>
      <x:c r="D16" s="11" t="n">
        <x:f>B16-C16</x:f>
        <x:v>280791.75</x:v>
      </x:c>
      <x:c r="E16" s="8"/>
      <x:c r="F16" s="8"/>
      <x:c r="G16" s="8"/>
      <x:c r="H16" s="8"/>
    </x:row>
    <x:row r="17">
      <x:c r="A17" s="28" t="n">
        <x:v>45931</x:v>
      </x:c>
      <x:c r="B17" s="11" t="n">
        <x:f>SUMIFS('Sales Data'!K:K,'Sales Data'!B:B,"&gt;="&amp;A17,'Sales Data'!B:B,"&lt;"&amp;EDATE(A17,1))</x:f>
        <x:v>829295.75</x:v>
      </x:c>
      <x:c r="C17" s="11" t="n">
        <x:f>SUMIFS('Sales Data'!L:L,'Sales Data'!B:B,"&gt;="&amp;A17,'Sales Data'!B:B,"&lt;"&amp;EDATE(A17,1))</x:f>
        <x:v>560461.3999999999</x:v>
      </x:c>
      <x:c r="D17" s="11" t="n">
        <x:f>B17-C17</x:f>
        <x:v>268834.3500000001</x:v>
      </x:c>
      <x:c r="E17" s="8"/>
      <x:c r="F17" s="8"/>
      <x:c r="G17" s="8"/>
      <x:c r="H17" s="8"/>
    </x:row>
    <x:row r="18">
      <x:c r="A18" s="28" t="n">
        <x:v>45962</x:v>
      </x:c>
      <x:c r="B18" s="11" t="n">
        <x:f>SUMIFS('Sales Data'!K:K,'Sales Data'!B:B,"&gt;="&amp;A18,'Sales Data'!B:B,"&lt;"&amp;EDATE(A18,1))</x:f>
        <x:v>738067.75</x:v>
      </x:c>
      <x:c r="C18" s="11" t="n">
        <x:f>SUMIFS('Sales Data'!L:L,'Sales Data'!B:B,"&gt;="&amp;A18,'Sales Data'!B:B,"&lt;"&amp;EDATE(A18,1))</x:f>
        <x:v>488618.89999999997</x:v>
      </x:c>
      <x:c r="D18" s="11" t="n">
        <x:f>B18-C18</x:f>
        <x:v>249448.85000000003</x:v>
      </x:c>
      <x:c r="E18" s="8"/>
      <x:c r="F18" s="8"/>
      <x:c r="G18" s="8"/>
      <x:c r="H18" s="8"/>
    </x:row>
    <x:row r="19">
      <x:c r="A19" s="28" t="n">
        <x:v>45992</x:v>
      </x:c>
      <x:c r="B19" s="11" t="n">
        <x:f>SUMIFS('Sales Data'!K:K,'Sales Data'!B:B,"&gt;="&amp;A19,'Sales Data'!B:B,"&lt;"&amp;EDATE(A19,1))</x:f>
        <x:v>898411</x:v>
      </x:c>
      <x:c r="C19" s="11" t="n">
        <x:f>SUMIFS('Sales Data'!L:L,'Sales Data'!B:B,"&gt;="&amp;A19,'Sales Data'!B:B,"&lt;"&amp;EDATE(A19,1))</x:f>
        <x:v>605907.3999999999</x:v>
      </x:c>
      <x:c r="D19" s="11" t="n">
        <x:f>B19-C19</x:f>
        <x:v>292503.6000000001</x:v>
      </x:c>
      <x:c r="E19" s="8"/>
      <x:c r="F19" s="8"/>
      <x:c r="G19" s="8"/>
      <x:c r="H19" s="8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9e5397b957e4e06"/>
  <x:tableParts count="2">
    <x:tablePart xmlns:r="http://schemas.openxmlformats.org/officeDocument/2006/relationships" r:id="R453857f3d35e4174"/>
    <x:tablePart xmlns:r="http://schemas.openxmlformats.org/officeDocument/2006/relationships" r:id="R4a7f2ec7577648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0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8" hidden="0" customWidth="1"/>
    <x:col min="9" max="9" width="11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14" hidden="0" customWidth="1"/>
    <x:col min="16" max="16" width="12" hidden="0" customWidth="1"/>
  </x:cols>
  <x:sheetData>
    <x:row r="1" ht="22" customHeight="1">
      <x:c r="A1" s="7" t="str">
        <x:v>Order ID</x:v>
      </x:c>
      <x:c r="B1" s="7" t="str">
        <x:v>Order Date</x:v>
      </x:c>
      <x:c r="C1" s="7" t="str">
        <x:v>Region</x:v>
      </x:c>
      <x:c r="D1" s="7" t="str">
        <x:v>Sales Rep</x:v>
      </x:c>
      <x:c r="E1" s="7" t="str">
        <x:v>Customer</x:v>
      </x:c>
      <x:c r="F1" s="7" t="str">
        <x:v>Product Category</x:v>
      </x:c>
      <x:c r="G1" s="7" t="str">
        <x:v>Product</x:v>
      </x:c>
      <x:c r="H1" s="7" t="str">
        <x:v>Units</x:v>
      </x:c>
      <x:c r="I1" s="7" t="str">
        <x:v>Unit Price</x:v>
      </x:c>
      <x:c r="J1" s="7" t="str">
        <x:v>Discount %</x:v>
      </x:c>
      <x:c r="K1" s="7" t="str">
        <x:v>Revenue</x:v>
      </x:c>
      <x:c r="L1" s="7" t="str">
        <x:v>Cost</x:v>
      </x:c>
      <x:c r="M1" s="7" t="str">
        <x:v>Profit</x:v>
      </x:c>
      <x:c r="N1" s="7" t="str">
        <x:v>Channel</x:v>
      </x:c>
      <x:c r="O1" s="7" t="str">
        <x:v>Payment Method</x:v>
      </x:c>
      <x:c r="P1" s="7" t="str">
        <x:v>Order Status</x:v>
      </x:c>
    </x:row>
    <x:row r="2">
      <x:c r="A2" s="8" t="str">
        <x:v>ORD-2025001</x:v>
      </x:c>
      <x:c r="B2" s="9" t="n">
        <x:v>45798</x:v>
      </x:c>
      <x:c r="C2" s="8" t="str">
        <x:v>South</x:v>
      </x:c>
      <x:c r="D2" s="8" t="str">
        <x:v>Mia Johnson</x:v>
      </x:c>
      <x:c r="E2" s="8" t="str">
        <x:v>Urban Inc</x:v>
      </x:c>
      <x:c r="F2" s="8" t="str">
        <x:v>Software</x:v>
      </x:c>
      <x:c r="G2" s="8" t="str">
        <x:v>CRM Pro</x:v>
      </x:c>
      <x:c r="H2" s="10" t="n">
        <x:v>24</x:v>
      </x:c>
      <x:c r="I2" s="11" t="n">
        <x:v>1200</x:v>
      </x:c>
      <x:c r="J2" s="12" t="n">
        <x:v>0</x:v>
      </x:c>
      <x:c r="K2" s="11" t="n">
        <x:f>H2*I2*(1-J2)</x:f>
        <x:v>28800</x:v>
      </x:c>
      <x:c r="L2" s="11" t="n">
        <x:f>H2*(I2*0.62)</x:f>
        <x:v>17856</x:v>
      </x:c>
      <x:c r="M2" s="11" t="n">
        <x:f>K2-L2</x:f>
        <x:v>10944</x:v>
      </x:c>
      <x:c r="N2" s="8" t="str">
        <x:v>Online</x:v>
      </x:c>
      <x:c r="O2" s="8" t="str">
        <x:v>Credit Card</x:v>
      </x:c>
      <x:c r="P2" s="8" t="str">
        <x:v>Shipped</x:v>
      </x:c>
    </x:row>
    <x:row r="3">
      <x:c r="A3" s="8" t="str">
        <x:v>ORD-2025002</x:v>
      </x:c>
      <x:c r="B3" s="9" t="n">
        <x:v>45705</x:v>
      </x:c>
      <x:c r="C3" s="8" t="str">
        <x:v>South</x:v>
      </x:c>
      <x:c r="D3" s="8" t="str">
        <x:v>Mia Johnson</x:v>
      </x:c>
      <x:c r="E3" s="8" t="str">
        <x:v>Southridge LLC</x:v>
      </x:c>
      <x:c r="F3" s="8" t="str">
        <x:v>Software</x:v>
      </x:c>
      <x:c r="G3" s="8" t="str">
        <x:v>CRM Pro</x:v>
      </x:c>
      <x:c r="H3" s="10" t="n">
        <x:v>20</x:v>
      </x:c>
      <x:c r="I3" s="11" t="n">
        <x:v>1200</x:v>
      </x:c>
      <x:c r="J3" s="12" t="n">
        <x:v>0</x:v>
      </x:c>
      <x:c r="K3" s="11" t="n">
        <x:f>H3*I3*(1-J3)</x:f>
        <x:v>24000</x:v>
      </x:c>
      <x:c r="L3" s="11" t="n">
        <x:f>H3*(I3*0.62)</x:f>
        <x:v>14880</x:v>
      </x:c>
      <x:c r="M3" s="11" t="n">
        <x:f>K3-L3</x:f>
        <x:v>9120</x:v>
      </x:c>
      <x:c r="N3" s="8" t="str">
        <x:v>Online</x:v>
      </x:c>
      <x:c r="O3" s="8" t="str">
        <x:v>Bank Transfer</x:v>
      </x:c>
      <x:c r="P3" s="8" t="str">
        <x:v>Shipped</x:v>
      </x:c>
    </x:row>
    <x:row r="4">
      <x:c r="A4" s="8" t="str">
        <x:v>ORD-2025003</x:v>
      </x:c>
      <x:c r="B4" s="9" t="n">
        <x:v>45887</x:v>
      </x:c>
      <x:c r="C4" s="8" t="str">
        <x:v>Central</x:v>
      </x:c>
      <x:c r="D4" s="8" t="str">
        <x:v>Ethan Garcia</x:v>
      </x:c>
      <x:c r="E4" s="8" t="str">
        <x:v>Acme LLC</x:v>
      </x:c>
      <x:c r="F4" s="8" t="str">
        <x:v>Accessories</x:v>
      </x:c>
      <x:c r="G4" s="8" t="str">
        <x:v>Keyboard Pro</x:v>
      </x:c>
      <x:c r="H4" s="10" t="n">
        <x:v>25</x:v>
      </x:c>
      <x:c r="I4" s="11" t="n">
        <x:v>95</x:v>
      </x:c>
      <x:c r="J4" s="12" t="n">
        <x:v>0.2</x:v>
      </x:c>
      <x:c r="K4" s="11" t="n">
        <x:f>H4*I4*(1-J4)</x:f>
        <x:v>1900</x:v>
      </x:c>
      <x:c r="L4" s="11" t="n">
        <x:f>H4*(I4*0.62)</x:f>
        <x:v>1472.5</x:v>
      </x:c>
      <x:c r="M4" s="11" t="n">
        <x:f>K4-L4</x:f>
        <x:v>427.5</x:v>
      </x:c>
      <x:c r="N4" s="8" t="str">
        <x:v>Direct</x:v>
      </x:c>
      <x:c r="O4" s="8" t="str">
        <x:v>PayPal</x:v>
      </x:c>
      <x:c r="P4" s="8" t="str">
        <x:v>Closed Won</x:v>
      </x:c>
    </x:row>
    <x:row r="5">
      <x:c r="A5" s="8" t="str">
        <x:v>ORD-2025004</x:v>
      </x:c>
      <x:c r="B5" s="9" t="n">
        <x:v>45830</x:v>
      </x:c>
      <x:c r="C5" s="8" t="str">
        <x:v>North</x:v>
      </x:c>
      <x:c r="D5" s="8" t="str">
        <x:v>Liam Chen</x:v>
      </x:c>
      <x:c r="E5" s="8" t="str">
        <x:v>SilverLine LLC</x:v>
      </x:c>
      <x:c r="F5" s="8" t="str">
        <x:v>Hardware</x:v>
      </x:c>
      <x:c r="G5" s="8" t="str">
        <x:v>Tablet Air</x:v>
      </x:c>
      <x:c r="H5" s="10" t="n">
        <x:v>4</x:v>
      </x:c>
      <x:c r="I5" s="11" t="n">
        <x:v>820</x:v>
      </x:c>
      <x:c r="J5" s="12" t="n">
        <x:v>0</x:v>
      </x:c>
      <x:c r="K5" s="11" t="n">
        <x:f>H5*I5*(1-J5)</x:f>
        <x:v>3280</x:v>
      </x:c>
      <x:c r="L5" s="11" t="n">
        <x:f>H5*(I5*0.62)</x:f>
        <x:v>2033.6</x:v>
      </x:c>
      <x:c r="M5" s="11" t="n">
        <x:f>K5-L5</x:f>
        <x:v>1246.4</x:v>
      </x:c>
      <x:c r="N5" s="8" t="str">
        <x:v>Partner</x:v>
      </x:c>
      <x:c r="O5" s="8" t="str">
        <x:v>Invoice</x:v>
      </x:c>
      <x:c r="P5" s="8" t="str">
        <x:v>Returned</x:v>
      </x:c>
    </x:row>
    <x:row r="6">
      <x:c r="A6" s="8" t="str">
        <x:v>ORD-2025005</x:v>
      </x:c>
      <x:c r="B6" s="9" t="n">
        <x:v>45851</x:v>
      </x:c>
      <x:c r="C6" s="8" t="str">
        <x:v>North</x:v>
      </x:c>
      <x:c r="D6" s="8" t="str">
        <x:v>Mason Lee</x:v>
      </x:c>
      <x:c r="E6" s="8" t="str">
        <x:v>Vertex Inc</x:v>
      </x:c>
      <x:c r="F6" s="8" t="str">
        <x:v>Accessories</x:v>
      </x:c>
      <x:c r="G6" s="8" t="str">
        <x:v>Wireless Mouse</x:v>
      </x:c>
      <x:c r="H6" s="10" t="n">
        <x:v>21</x:v>
      </x:c>
      <x:c r="I6" s="11" t="n">
        <x:v>40</x:v>
      </x:c>
      <x:c r="J6" s="12" t="n">
        <x:v>0.1</x:v>
      </x:c>
      <x:c r="K6" s="11" t="n">
        <x:f>H6*I6*(1-J6)</x:f>
        <x:v>756</x:v>
      </x:c>
      <x:c r="L6" s="11" t="n">
        <x:f>H6*(I6*0.62)</x:f>
        <x:v>520.8000000000001</x:v>
      </x:c>
      <x:c r="M6" s="11" t="n">
        <x:f>K6-L6</x:f>
        <x:v>235.19999999999993</x:v>
      </x:c>
      <x:c r="N6" s="8" t="str">
        <x:v>Partner</x:v>
      </x:c>
      <x:c r="O6" s="8" t="str">
        <x:v>Bank Transfer</x:v>
      </x:c>
      <x:c r="P6" s="8" t="str">
        <x:v>Shipped</x:v>
      </x:c>
    </x:row>
    <x:row r="7">
      <x:c r="A7" s="8" t="str">
        <x:v>ORD-2025006</x:v>
      </x:c>
      <x:c r="B7" s="9" t="n">
        <x:v>45806</x:v>
      </x:c>
      <x:c r="C7" s="8" t="str">
        <x:v>North</x:v>
      </x:c>
      <x:c r="D7" s="8" t="str">
        <x:v>Mia Johnson</x:v>
      </x:c>
      <x:c r="E7" s="8" t="str">
        <x:v>Pioneer LLC</x:v>
      </x:c>
      <x:c r="F7" s="8" t="str">
        <x:v>Software</x:v>
      </x:c>
      <x:c r="G7" s="8" t="str">
        <x:v>Analytics Cloud</x:v>
      </x:c>
      <x:c r="H7" s="10" t="n">
        <x:v>13</x:v>
      </x:c>
      <x:c r="I7" s="11" t="n">
        <x:v>1800</x:v>
      </x:c>
      <x:c r="J7" s="12" t="n">
        <x:v>0</x:v>
      </x:c>
      <x:c r="K7" s="11" t="n">
        <x:f>H7*I7*(1-J7)</x:f>
        <x:v>23400</x:v>
      </x:c>
      <x:c r="L7" s="11" t="n">
        <x:f>H7*(I7*0.62)</x:f>
        <x:v>14508</x:v>
      </x:c>
      <x:c r="M7" s="11" t="n">
        <x:f>K7-L7</x:f>
        <x:v>8892</x:v>
      </x:c>
      <x:c r="N7" s="8" t="str">
        <x:v>Partner</x:v>
      </x:c>
      <x:c r="O7" s="8" t="str">
        <x:v>Invoice</x:v>
      </x:c>
      <x:c r="P7" s="8" t="str">
        <x:v>Closed Won</x:v>
      </x:c>
    </x:row>
    <x:row r="8">
      <x:c r="A8" s="8" t="str">
        <x:v>ORD-2025007</x:v>
      </x:c>
      <x:c r="B8" s="9" t="n">
        <x:v>46001</x:v>
      </x:c>
      <x:c r="C8" s="8" t="str">
        <x:v>East</x:v>
      </x:c>
      <x:c r="D8" s="8" t="str">
        <x:v>Liam Chen</x:v>
      </x:c>
      <x:c r="E8" s="8" t="str">
        <x:v>Nova Inc</x:v>
      </x:c>
      <x:c r="F8" s="8" t="str">
        <x:v>Services</x:v>
      </x:c>
      <x:c r="G8" s="8" t="str">
        <x:v>Training</x:v>
      </x:c>
      <x:c r="H8" s="10" t="n">
        <x:v>21</x:v>
      </x:c>
      <x:c r="I8" s="11" t="n">
        <x:v>900</x:v>
      </x:c>
      <x:c r="J8" s="12" t="n">
        <x:v>0</x:v>
      </x:c>
      <x:c r="K8" s="11" t="n">
        <x:f>H8*I8*(1-J8)</x:f>
        <x:v>18900</x:v>
      </x:c>
      <x:c r="L8" s="11" t="n">
        <x:f>H8*(I8*0.62)</x:f>
        <x:v>11718</x:v>
      </x:c>
      <x:c r="M8" s="11" t="n">
        <x:f>K8-L8</x:f>
        <x:v>7182</x:v>
      </x:c>
      <x:c r="N8" s="8" t="str">
        <x:v>Online</x:v>
      </x:c>
      <x:c r="O8" s="8" t="str">
        <x:v>Bank Transfer</x:v>
      </x:c>
      <x:c r="P8" s="8" t="str">
        <x:v>Closed Won</x:v>
      </x:c>
    </x:row>
    <x:row r="9">
      <x:c r="A9" s="8" t="str">
        <x:v>ORD-2025008</x:v>
      </x:c>
      <x:c r="B9" s="9" t="n">
        <x:v>45985</x:v>
      </x:c>
      <x:c r="C9" s="8" t="str">
        <x:v>Central</x:v>
      </x:c>
      <x:c r="D9" s="8" t="str">
        <x:v>Mia Johnson</x:v>
      </x:c>
      <x:c r="E9" s="8" t="str">
        <x:v>BrightPath Inc</x:v>
      </x:c>
      <x:c r="F9" s="8" t="str">
        <x:v>Accessories</x:v>
      </x:c>
      <x:c r="G9" s="8" t="str">
        <x:v>Webcam HD</x:v>
      </x:c>
      <x:c r="H9" s="10" t="n">
        <x:v>25</x:v>
      </x:c>
      <x:c r="I9" s="11" t="n">
        <x:v>110</x:v>
      </x:c>
      <x:c r="J9" s="12" t="n">
        <x:v>0.2</x:v>
      </x:c>
      <x:c r="K9" s="11" t="n">
        <x:f>H9*I9*(1-J9)</x:f>
        <x:v>2200</x:v>
      </x:c>
      <x:c r="L9" s="11" t="n">
        <x:f>H9*(I9*0.62)</x:f>
        <x:v>1705</x:v>
      </x:c>
      <x:c r="M9" s="11" t="n">
        <x:f>K9-L9</x:f>
        <x:v>495</x:v>
      </x:c>
      <x:c r="N9" s="8" t="str">
        <x:v>Direct</x:v>
      </x:c>
      <x:c r="O9" s="8" t="str">
        <x:v>Bank Transfer</x:v>
      </x:c>
      <x:c r="P9" s="8" t="str">
        <x:v>Returned</x:v>
      </x:c>
    </x:row>
    <x:row r="10">
      <x:c r="A10" s="8" t="str">
        <x:v>ORD-2025009</x:v>
      </x:c>
      <x:c r="B10" s="9" t="n">
        <x:v>45795</x:v>
      </x:c>
      <x:c r="C10" s="8" t="str">
        <x:v>North</x:v>
      </x:c>
      <x:c r="D10" s="8" t="str">
        <x:v>Mia Johnson</x:v>
      </x:c>
      <x:c r="E10" s="8" t="str">
        <x:v>Ironwood LLC</x:v>
      </x:c>
      <x:c r="F10" s="8" t="str">
        <x:v>Services</x:v>
      </x:c>
      <x:c r="G10" s="8" t="str">
        <x:v>Consulting Day</x:v>
      </x:c>
      <x:c r="H10" s="10" t="n">
        <x:v>23</x:v>
      </x:c>
      <x:c r="I10" s="11" t="n">
        <x:v>1400</x:v>
      </x:c>
      <x:c r="J10" s="12" t="n">
        <x:v>0</x:v>
      </x:c>
      <x:c r="K10" s="11" t="n">
        <x:f>H10*I10*(1-J10)</x:f>
        <x:v>32200</x:v>
      </x:c>
      <x:c r="L10" s="11" t="n">
        <x:f>H10*(I10*0.62)</x:f>
        <x:v>19964</x:v>
      </x:c>
      <x:c r="M10" s="11" t="n">
        <x:f>K10-L10</x:f>
        <x:v>12236</x:v>
      </x:c>
      <x:c r="N10" s="8" t="str">
        <x:v>Direct</x:v>
      </x:c>
      <x:c r="O10" s="8" t="str">
        <x:v>PayPal</x:v>
      </x:c>
      <x:c r="P10" s="8" t="str">
        <x:v>Closed Won</x:v>
      </x:c>
    </x:row>
    <x:row r="11">
      <x:c r="A11" s="8" t="str">
        <x:v>ORD-2025010</x:v>
      </x:c>
      <x:c r="B11" s="9" t="n">
        <x:v>45793</x:v>
      </x:c>
      <x:c r="C11" s="8" t="str">
        <x:v>South</x:v>
      </x:c>
      <x:c r="D11" s="8" t="str">
        <x:v>Mia Johnson</x:v>
      </x:c>
      <x:c r="E11" s="8" t="str">
        <x:v>Maple Group</x:v>
      </x:c>
      <x:c r="F11" s="8" t="str">
        <x:v>Accessories</x:v>
      </x:c>
      <x:c r="G11" s="8" t="str">
        <x:v>Keyboard Pro</x:v>
      </x:c>
      <x:c r="H11" s="10" t="n">
        <x:v>18</x:v>
      </x:c>
      <x:c r="I11" s="11" t="n">
        <x:v>95</x:v>
      </x:c>
      <x:c r="J11" s="12" t="n">
        <x:v>0</x:v>
      </x:c>
      <x:c r="K11" s="11" t="n">
        <x:f>H11*I11*(1-J11)</x:f>
        <x:v>1710</x:v>
      </x:c>
      <x:c r="L11" s="11" t="n">
        <x:f>H11*(I11*0.62)</x:f>
        <x:v>1060.2</x:v>
      </x:c>
      <x:c r="M11" s="11" t="n">
        <x:f>K11-L11</x:f>
        <x:v>649.8</x:v>
      </x:c>
      <x:c r="N11" s="8" t="str">
        <x:v>Online</x:v>
      </x:c>
      <x:c r="O11" s="8" t="str">
        <x:v>PayPal</x:v>
      </x:c>
      <x:c r="P11" s="8" t="str">
        <x:v>Cancelled</x:v>
      </x:c>
    </x:row>
    <x:row r="12">
      <x:c r="A12" s="8" t="str">
        <x:v>ORD-2025011</x:v>
      </x:c>
      <x:c r="B12" s="9" t="n">
        <x:v>45770</x:v>
      </x:c>
      <x:c r="C12" s="8" t="str">
        <x:v>South</x:v>
      </x:c>
      <x:c r="D12" s="8" t="str">
        <x:v>Mason Lee</x:v>
      </x:c>
      <x:c r="E12" s="8" t="str">
        <x:v>NorthStar Group</x:v>
      </x:c>
      <x:c r="F12" s="8" t="str">
        <x:v>Accessories</x:v>
      </x:c>
      <x:c r="G12" s="8" t="str">
        <x:v>Webcam HD</x:v>
      </x:c>
      <x:c r="H12" s="10" t="n">
        <x:v>3</x:v>
      </x:c>
      <x:c r="I12" s="11" t="n">
        <x:v>110</x:v>
      </x:c>
      <x:c r="J12" s="12" t="n">
        <x:v>0.2</x:v>
      </x:c>
      <x:c r="K12" s="11" t="n">
        <x:f>H12*I12*(1-J12)</x:f>
        <x:v>264</x:v>
      </x:c>
      <x:c r="L12" s="11" t="n">
        <x:f>H12*(I12*0.62)</x:f>
        <x:v>204.60000000000002</x:v>
      </x:c>
      <x:c r="M12" s="11" t="n">
        <x:f>K12-L12</x:f>
        <x:v>59.39999999999998</x:v>
      </x:c>
      <x:c r="N12" s="8" t="str">
        <x:v>Direct</x:v>
      </x:c>
      <x:c r="O12" s="8" t="str">
        <x:v>Credit Card</x:v>
      </x:c>
      <x:c r="P12" s="8" t="str">
        <x:v>Closed Won</x:v>
      </x:c>
    </x:row>
    <x:row r="13">
      <x:c r="A13" s="8" t="str">
        <x:v>ORD-2025012</x:v>
      </x:c>
      <x:c r="B13" s="9" t="n">
        <x:v>45963</x:v>
      </x:c>
      <x:c r="C13" s="8" t="str">
        <x:v>North</x:v>
      </x:c>
      <x:c r="D13" s="8" t="str">
        <x:v>Lucas Brown</x:v>
      </x:c>
      <x:c r="E13" s="8" t="str">
        <x:v>SilverLine LLC</x:v>
      </x:c>
      <x:c r="F13" s="8" t="str">
        <x:v>Hardware</x:v>
      </x:c>
      <x:c r="G13" s="8" t="str">
        <x:v>Monitor 27</x:v>
      </x:c>
      <x:c r="H13" s="10" t="n">
        <x:v>20</x:v>
      </x:c>
      <x:c r="I13" s="11" t="n">
        <x:v>320</x:v>
      </x:c>
      <x:c r="J13" s="12" t="n">
        <x:v>0.05</x:v>
      </x:c>
      <x:c r="K13" s="11" t="n">
        <x:f>H13*I13*(1-J13)</x:f>
        <x:v>6080</x:v>
      </x:c>
      <x:c r="L13" s="11" t="n">
        <x:f>H13*(I13*0.62)</x:f>
        <x:v>3968</x:v>
      </x:c>
      <x:c r="M13" s="11" t="n">
        <x:f>K13-L13</x:f>
        <x:v>2112</x:v>
      </x:c>
      <x:c r="N13" s="8" t="str">
        <x:v>Online</x:v>
      </x:c>
      <x:c r="O13" s="8" t="str">
        <x:v>Invoice</x:v>
      </x:c>
      <x:c r="P13" s="8" t="str">
        <x:v>Cancelled</x:v>
      </x:c>
    </x:row>
    <x:row r="14">
      <x:c r="A14" s="8" t="str">
        <x:v>ORD-2025013</x:v>
      </x:c>
      <x:c r="B14" s="9" t="n">
        <x:v>46007</x:v>
      </x:c>
      <x:c r="C14" s="8" t="str">
        <x:v>Central</x:v>
      </x:c>
      <x:c r="D14" s="8" t="str">
        <x:v>Ethan Garcia</x:v>
      </x:c>
      <x:c r="E14" s="8" t="str">
        <x:v>BrightPath Group</x:v>
      </x:c>
      <x:c r="F14" s="8" t="str">
        <x:v>Software</x:v>
      </x:c>
      <x:c r="G14" s="8" t="str">
        <x:v>CRM Pro</x:v>
      </x:c>
      <x:c r="H14" s="10" t="n">
        <x:v>4</x:v>
      </x:c>
      <x:c r="I14" s="11" t="n">
        <x:v>1200</x:v>
      </x:c>
      <x:c r="J14" s="12" t="n">
        <x:v>0</x:v>
      </x:c>
      <x:c r="K14" s="11" t="n">
        <x:f>H14*I14*(1-J14)</x:f>
        <x:v>4800</x:v>
      </x:c>
      <x:c r="L14" s="11" t="n">
        <x:f>H14*(I14*0.62)</x:f>
        <x:v>2976</x:v>
      </x:c>
      <x:c r="M14" s="11" t="n">
        <x:f>K14-L14</x:f>
        <x:v>1824</x:v>
      </x:c>
      <x:c r="N14" s="8" t="str">
        <x:v>Partner</x:v>
      </x:c>
      <x:c r="O14" s="8" t="str">
        <x:v>Bank Transfer</x:v>
      </x:c>
      <x:c r="P14" s="8" t="str">
        <x:v>Pending</x:v>
      </x:c>
    </x:row>
    <x:row r="15">
      <x:c r="A15" s="8" t="str">
        <x:v>ORD-2025014</x:v>
      </x:c>
      <x:c r="B15" s="9" t="n">
        <x:v>45917</x:v>
      </x:c>
      <x:c r="C15" s="8" t="str">
        <x:v>North</x:v>
      </x:c>
      <x:c r="D15" s="8" t="str">
        <x:v>Ethan Garcia</x:v>
      </x:c>
      <x:c r="E15" s="8" t="str">
        <x:v>Southridge LLC</x:v>
      </x:c>
      <x:c r="F15" s="8" t="str">
        <x:v>Services</x:v>
      </x:c>
      <x:c r="G15" s="8" t="str">
        <x:v>Training</x:v>
      </x:c>
      <x:c r="H15" s="10" t="n">
        <x:v>20</x:v>
      </x:c>
      <x:c r="I15" s="11" t="n">
        <x:v>900</x:v>
      </x:c>
      <x:c r="J15" s="12" t="n">
        <x:v>0</x:v>
      </x:c>
      <x:c r="K15" s="11" t="n">
        <x:f>H15*I15*(1-J15)</x:f>
        <x:v>18000</x:v>
      </x:c>
      <x:c r="L15" s="11" t="n">
        <x:f>H15*(I15*0.62)</x:f>
        <x:v>11160</x:v>
      </x:c>
      <x:c r="M15" s="11" t="n">
        <x:f>K15-L15</x:f>
        <x:v>6840</x:v>
      </x:c>
      <x:c r="N15" s="8" t="str">
        <x:v>Direct</x:v>
      </x:c>
      <x:c r="O15" s="8" t="str">
        <x:v>Invoice</x:v>
      </x:c>
      <x:c r="P15" s="8" t="str">
        <x:v>Shipped</x:v>
      </x:c>
    </x:row>
    <x:row r="16">
      <x:c r="A16" s="8" t="str">
        <x:v>ORD-2025015</x:v>
      </x:c>
      <x:c r="B16" s="9" t="n">
        <x:v>45908</x:v>
      </x:c>
      <x:c r="C16" s="8" t="str">
        <x:v>North</x:v>
      </x:c>
      <x:c r="D16" s="8" t="str">
        <x:v>Liam Chen</x:v>
      </x:c>
      <x:c r="E16" s="8" t="str">
        <x:v>Harbor Co</x:v>
      </x:c>
      <x:c r="F16" s="8" t="str">
        <x:v>Software</x:v>
      </x:c>
      <x:c r="G16" s="8" t="str">
        <x:v>HR Suite</x:v>
      </x:c>
      <x:c r="H16" s="10" t="n">
        <x:v>10</x:v>
      </x:c>
      <x:c r="I16" s="11" t="n">
        <x:v>950</x:v>
      </x:c>
      <x:c r="J16" s="12" t="n">
        <x:v>0</x:v>
      </x:c>
      <x:c r="K16" s="11" t="n">
        <x:f>H16*I16*(1-J16)</x:f>
        <x:v>9500</x:v>
      </x:c>
      <x:c r="L16" s="11" t="n">
        <x:f>H16*(I16*0.62)</x:f>
        <x:v>5890</x:v>
      </x:c>
      <x:c r="M16" s="11" t="n">
        <x:f>K16-L16</x:f>
        <x:v>3610</x:v>
      </x:c>
      <x:c r="N16" s="8" t="str">
        <x:v>Direct</x:v>
      </x:c>
      <x:c r="O16" s="8" t="str">
        <x:v>Bank Transfer</x:v>
      </x:c>
      <x:c r="P16" s="8" t="str">
        <x:v>Returned</x:v>
      </x:c>
    </x:row>
    <x:row r="17">
      <x:c r="A17" s="8" t="str">
        <x:v>ORD-2025016</x:v>
      </x:c>
      <x:c r="B17" s="9" t="n">
        <x:v>45906</x:v>
      </x:c>
      <x:c r="C17" s="8" t="str">
        <x:v>North</x:v>
      </x:c>
      <x:c r="D17" s="8" t="str">
        <x:v>Mason Lee</x:v>
      </x:c>
      <x:c r="E17" s="8" t="str">
        <x:v>Urban LLC</x:v>
      </x:c>
      <x:c r="F17" s="8" t="str">
        <x:v>Software</x:v>
      </x:c>
      <x:c r="G17" s="8" t="str">
        <x:v>CRM Pro</x:v>
      </x:c>
      <x:c r="H17" s="10" t="n">
        <x:v>5</x:v>
      </x:c>
      <x:c r="I17" s="11" t="n">
        <x:v>1200</x:v>
      </x:c>
      <x:c r="J17" s="12" t="n">
        <x:v>0.15</x:v>
      </x:c>
      <x:c r="K17" s="11" t="n">
        <x:f>H17*I17*(1-J17)</x:f>
        <x:v>5100</x:v>
      </x:c>
      <x:c r="L17" s="11" t="n">
        <x:f>H17*(I17*0.62)</x:f>
        <x:v>3720</x:v>
      </x:c>
      <x:c r="M17" s="11" t="n">
        <x:f>K17-L17</x:f>
        <x:v>1380</x:v>
      </x:c>
      <x:c r="N17" s="8" t="str">
        <x:v>Partner</x:v>
      </x:c>
      <x:c r="O17" s="8" t="str">
        <x:v>Bank Transfer</x:v>
      </x:c>
      <x:c r="P17" s="8" t="str">
        <x:v>Closed Won</x:v>
      </x:c>
    </x:row>
    <x:row r="18">
      <x:c r="A18" s="8" t="str">
        <x:v>ORD-2025017</x:v>
      </x:c>
      <x:c r="B18" s="9" t="n">
        <x:v>45934</x:v>
      </x:c>
      <x:c r="C18" s="8" t="str">
        <x:v>South</x:v>
      </x:c>
      <x:c r="D18" s="8" t="str">
        <x:v>Ethan Garcia</x:v>
      </x:c>
      <x:c r="E18" s="8" t="str">
        <x:v>SilverLine Group</x:v>
      </x:c>
      <x:c r="F18" s="8" t="str">
        <x:v>Accessories</x:v>
      </x:c>
      <x:c r="G18" s="8" t="str">
        <x:v>Keyboard Pro</x:v>
      </x:c>
      <x:c r="H18" s="10" t="n">
        <x:v>22</x:v>
      </x:c>
      <x:c r="I18" s="11" t="n">
        <x:v>95</x:v>
      </x:c>
      <x:c r="J18" s="12" t="n">
        <x:v>0.15</x:v>
      </x:c>
      <x:c r="K18" s="11" t="n">
        <x:f>H18*I18*(1-J18)</x:f>
        <x:v>1776.5</x:v>
      </x:c>
      <x:c r="L18" s="11" t="n">
        <x:f>H18*(I18*0.62)</x:f>
        <x:v>1295.8</x:v>
      </x:c>
      <x:c r="M18" s="11" t="n">
        <x:f>K18-L18</x:f>
        <x:v>480.70000000000005</x:v>
      </x:c>
      <x:c r="N18" s="8" t="str">
        <x:v>Partner</x:v>
      </x:c>
      <x:c r="O18" s="8" t="str">
        <x:v>PayPal</x:v>
      </x:c>
      <x:c r="P18" s="8" t="str">
        <x:v>Cancelled</x:v>
      </x:c>
    </x:row>
    <x:row r="19">
      <x:c r="A19" s="8" t="str">
        <x:v>ORD-2025018</x:v>
      </x:c>
      <x:c r="B19" s="9" t="n">
        <x:v>45784</x:v>
      </x:c>
      <x:c r="C19" s="8" t="str">
        <x:v>South</x:v>
      </x:c>
      <x:c r="D19" s="8" t="str">
        <x:v>Liam Chen</x:v>
      </x:c>
      <x:c r="E19" s="8" t="str">
        <x:v>BrightPath Group</x:v>
      </x:c>
      <x:c r="F19" s="8" t="str">
        <x:v>Accessories</x:v>
      </x:c>
      <x:c r="G19" s="8" t="str">
        <x:v>Wireless Mouse</x:v>
      </x:c>
      <x:c r="H19" s="10" t="n">
        <x:v>1</x:v>
      </x:c>
      <x:c r="I19" s="11" t="n">
        <x:v>40</x:v>
      </x:c>
      <x:c r="J19" s="12" t="n">
        <x:v>0.1</x:v>
      </x:c>
      <x:c r="K19" s="11" t="n">
        <x:f>H19*I19*(1-J19)</x:f>
        <x:v>36</x:v>
      </x:c>
      <x:c r="L19" s="11" t="n">
        <x:f>H19*(I19*0.62)</x:f>
        <x:v>24.8</x:v>
      </x:c>
      <x:c r="M19" s="11" t="n">
        <x:f>K19-L19</x:f>
        <x:v>11.2</x:v>
      </x:c>
      <x:c r="N19" s="8" t="str">
        <x:v>Online</x:v>
      </x:c>
      <x:c r="O19" s="8" t="str">
        <x:v>Bank Transfer</x:v>
      </x:c>
      <x:c r="P19" s="8" t="str">
        <x:v>Shipped</x:v>
      </x:c>
    </x:row>
    <x:row r="20">
      <x:c r="A20" s="8" t="str">
        <x:v>ORD-2025019</x:v>
      </x:c>
      <x:c r="B20" s="9" t="n">
        <x:v>46020</x:v>
      </x:c>
      <x:c r="C20" s="8" t="str">
        <x:v>North</x:v>
      </x:c>
      <x:c r="D20" s="8" t="str">
        <x:v>Mia Johnson</x:v>
      </x:c>
      <x:c r="E20" s="8" t="str">
        <x:v>BlueSky LLC</x:v>
      </x:c>
      <x:c r="F20" s="8" t="str">
        <x:v>Software</x:v>
      </x:c>
      <x:c r="G20" s="8" t="str">
        <x:v>CRM Pro</x:v>
      </x:c>
      <x:c r="H20" s="10" t="n">
        <x:v>2</x:v>
      </x:c>
      <x:c r="I20" s="11" t="n">
        <x:v>1200</x:v>
      </x:c>
      <x:c r="J20" s="12" t="n">
        <x:v>0.2</x:v>
      </x:c>
      <x:c r="K20" s="11" t="n">
        <x:f>H20*I20*(1-J20)</x:f>
        <x:v>1920</x:v>
      </x:c>
      <x:c r="L20" s="11" t="n">
        <x:f>H20*(I20*0.62)</x:f>
        <x:v>1488</x:v>
      </x:c>
      <x:c r="M20" s="11" t="n">
        <x:f>K20-L20</x:f>
        <x:v>432</x:v>
      </x:c>
      <x:c r="N20" s="8" t="str">
        <x:v>Partner</x:v>
      </x:c>
      <x:c r="O20" s="8" t="str">
        <x:v>Credit Card</x:v>
      </x:c>
      <x:c r="P20" s="8" t="str">
        <x:v>Pending</x:v>
      </x:c>
    </x:row>
    <x:row r="21">
      <x:c r="A21" s="8" t="str">
        <x:v>ORD-2025020</x:v>
      </x:c>
      <x:c r="B21" s="9" t="n">
        <x:v>45767</x:v>
      </x:c>
      <x:c r="C21" s="8" t="str">
        <x:v>Central</x:v>
      </x:c>
      <x:c r="D21" s="8" t="str">
        <x:v>Noah Davis</x:v>
      </x:c>
      <x:c r="E21" s="8" t="str">
        <x:v>Ironwood Inc</x:v>
      </x:c>
      <x:c r="F21" s="8" t="str">
        <x:v>Services</x:v>
      </x:c>
      <x:c r="G21" s="8" t="str">
        <x:v>Consulting Day</x:v>
      </x:c>
      <x:c r="H21" s="10" t="n">
        <x:v>19</x:v>
      </x:c>
      <x:c r="I21" s="11" t="n">
        <x:v>1400</x:v>
      </x:c>
      <x:c r="J21" s="12" t="n">
        <x:v>0.05</x:v>
      </x:c>
      <x:c r="K21" s="11" t="n">
        <x:f>H21*I21*(1-J21)</x:f>
        <x:v>25270</x:v>
      </x:c>
      <x:c r="L21" s="11" t="n">
        <x:f>H21*(I21*0.62)</x:f>
        <x:v>16492</x:v>
      </x:c>
      <x:c r="M21" s="11" t="n">
        <x:f>K21-L21</x:f>
        <x:v>8778</x:v>
      </x:c>
      <x:c r="N21" s="8" t="str">
        <x:v>Direct</x:v>
      </x:c>
      <x:c r="O21" s="8" t="str">
        <x:v>PayPal</x:v>
      </x:c>
      <x:c r="P21" s="8" t="str">
        <x:v>Returned</x:v>
      </x:c>
    </x:row>
    <x:row r="22">
      <x:c r="A22" s="8" t="str">
        <x:v>ORD-2025021</x:v>
      </x:c>
      <x:c r="B22" s="9" t="n">
        <x:v>45707</x:v>
      </x:c>
      <x:c r="C22" s="8" t="str">
        <x:v>West</x:v>
      </x:c>
      <x:c r="D22" s="8" t="str">
        <x:v>Sophia Kim</x:v>
      </x:c>
      <x:c r="E22" s="8" t="str">
        <x:v>RedStone Co</x:v>
      </x:c>
      <x:c r="F22" s="8" t="str">
        <x:v>Hardware</x:v>
      </x:c>
      <x:c r="G22" s="8" t="str">
        <x:v>Laptop X</x:v>
      </x:c>
      <x:c r="H22" s="10" t="n">
        <x:v>14</x:v>
      </x:c>
      <x:c r="I22" s="11" t="n">
        <x:v>1500</x:v>
      </x:c>
      <x:c r="J22" s="12" t="n">
        <x:v>0.05</x:v>
      </x:c>
      <x:c r="K22" s="11" t="n">
        <x:f>H22*I22*(1-J22)</x:f>
        <x:v>19950</x:v>
      </x:c>
      <x:c r="L22" s="11" t="n">
        <x:f>H22*(I22*0.62)</x:f>
        <x:v>13020</x:v>
      </x:c>
      <x:c r="M22" s="11" t="n">
        <x:f>K22-L22</x:f>
        <x:v>6930</x:v>
      </x:c>
      <x:c r="N22" s="8" t="str">
        <x:v>Online</x:v>
      </x:c>
      <x:c r="O22" s="8" t="str">
        <x:v>Credit Card</x:v>
      </x:c>
      <x:c r="P22" s="8" t="str">
        <x:v>Shipped</x:v>
      </x:c>
    </x:row>
    <x:row r="23">
      <x:c r="A23" s="8" t="str">
        <x:v>ORD-2025022</x:v>
      </x:c>
      <x:c r="B23" s="9" t="n">
        <x:v>45864</x:v>
      </x:c>
      <x:c r="C23" s="8" t="str">
        <x:v>East</x:v>
      </x:c>
      <x:c r="D23" s="8" t="str">
        <x:v>Liam Chen</x:v>
      </x:c>
      <x:c r="E23" s="8" t="str">
        <x:v>Cedar Group</x:v>
      </x:c>
      <x:c r="F23" s="8" t="str">
        <x:v>Software</x:v>
      </x:c>
      <x:c r="G23" s="8" t="str">
        <x:v>CRM Pro</x:v>
      </x:c>
      <x:c r="H23" s="10" t="n">
        <x:v>7</x:v>
      </x:c>
      <x:c r="I23" s="11" t="n">
        <x:v>1200</x:v>
      </x:c>
      <x:c r="J23" s="12" t="n">
        <x:v>0</x:v>
      </x:c>
      <x:c r="K23" s="11" t="n">
        <x:f>H23*I23*(1-J23)</x:f>
        <x:v>8400</x:v>
      </x:c>
      <x:c r="L23" s="11" t="n">
        <x:f>H23*(I23*0.62)</x:f>
        <x:v>5208</x:v>
      </x:c>
      <x:c r="M23" s="11" t="n">
        <x:f>K23-L23</x:f>
        <x:v>3192</x:v>
      </x:c>
      <x:c r="N23" s="8" t="str">
        <x:v>Online</x:v>
      </x:c>
      <x:c r="O23" s="8" t="str">
        <x:v>PayPal</x:v>
      </x:c>
      <x:c r="P23" s="8" t="str">
        <x:v>Closed Won</x:v>
      </x:c>
    </x:row>
    <x:row r="24">
      <x:c r="A24" s="8" t="str">
        <x:v>ORD-2025023</x:v>
      </x:c>
      <x:c r="B24" s="9" t="n">
        <x:v>45894</x:v>
      </x:c>
      <x:c r="C24" s="8" t="str">
        <x:v>South</x:v>
      </x:c>
      <x:c r="D24" s="8" t="str">
        <x:v>Liam Chen</x:v>
      </x:c>
      <x:c r="E24" s="8" t="str">
        <x:v>GoldenGate LLC</x:v>
      </x:c>
      <x:c r="F24" s="8" t="str">
        <x:v>Hardware</x:v>
      </x:c>
      <x:c r="G24" s="8" t="str">
        <x:v>Dock Station</x:v>
      </x:c>
      <x:c r="H24" s="10" t="n">
        <x:v>18</x:v>
      </x:c>
      <x:c r="I24" s="11" t="n">
        <x:v>180</x:v>
      </x:c>
      <x:c r="J24" s="12" t="n">
        <x:v>0</x:v>
      </x:c>
      <x:c r="K24" s="11" t="n">
        <x:f>H24*I24*(1-J24)</x:f>
        <x:v>3240</x:v>
      </x:c>
      <x:c r="L24" s="11" t="n">
        <x:f>H24*(I24*0.62)</x:f>
        <x:v>2008.8</x:v>
      </x:c>
      <x:c r="M24" s="11" t="n">
        <x:f>K24-L24</x:f>
        <x:v>1231.2</x:v>
      </x:c>
      <x:c r="N24" s="8" t="str">
        <x:v>Direct</x:v>
      </x:c>
      <x:c r="O24" s="8" t="str">
        <x:v>Credit Card</x:v>
      </x:c>
      <x:c r="P24" s="8" t="str">
        <x:v>Cancelled</x:v>
      </x:c>
    </x:row>
    <x:row r="25">
      <x:c r="A25" s="8" t="str">
        <x:v>ORD-2025024</x:v>
      </x:c>
      <x:c r="B25" s="9" t="n">
        <x:v>45866</x:v>
      </x:c>
      <x:c r="C25" s="8" t="str">
        <x:v>West</x:v>
      </x:c>
      <x:c r="D25" s="8" t="str">
        <x:v>Olivia Wilson</x:v>
      </x:c>
      <x:c r="E25" s="8" t="str">
        <x:v>Nexus Group</x:v>
      </x:c>
      <x:c r="F25" s="8" t="str">
        <x:v>Hardware</x:v>
      </x:c>
      <x:c r="G25" s="8" t="str">
        <x:v>Tablet Air</x:v>
      </x:c>
      <x:c r="H25" s="10" t="n">
        <x:v>13</x:v>
      </x:c>
      <x:c r="I25" s="11" t="n">
        <x:v>820</x:v>
      </x:c>
      <x:c r="J25" s="12" t="n">
        <x:v>0</x:v>
      </x:c>
      <x:c r="K25" s="11" t="n">
        <x:f>H25*I25*(1-J25)</x:f>
        <x:v>10660</x:v>
      </x:c>
      <x:c r="L25" s="11" t="n">
        <x:f>H25*(I25*0.62)</x:f>
        <x:v>6609.2</x:v>
      </x:c>
      <x:c r="M25" s="11" t="n">
        <x:f>K25-L25</x:f>
        <x:v>4050.8</x:v>
      </x:c>
      <x:c r="N25" s="8" t="str">
        <x:v>Direct</x:v>
      </x:c>
      <x:c r="O25" s="8" t="str">
        <x:v>PayPal</x:v>
      </x:c>
      <x:c r="P25" s="8" t="str">
        <x:v>Closed Won</x:v>
      </x:c>
    </x:row>
    <x:row r="26">
      <x:c r="A26" s="8" t="str">
        <x:v>ORD-2025025</x:v>
      </x:c>
      <x:c r="B26" s="9" t="n">
        <x:v>45890</x:v>
      </x:c>
      <x:c r="C26" s="8" t="str">
        <x:v>East</x:v>
      </x:c>
      <x:c r="D26" s="8" t="str">
        <x:v>Lucas Brown</x:v>
      </x:c>
      <x:c r="E26" s="8" t="str">
        <x:v>Maple Group</x:v>
      </x:c>
      <x:c r="F26" s="8" t="str">
        <x:v>Accessories</x:v>
      </x:c>
      <x:c r="G26" s="8" t="str">
        <x:v>Webcam HD</x:v>
      </x:c>
      <x:c r="H26" s="10" t="n">
        <x:v>22</x:v>
      </x:c>
      <x:c r="I26" s="11" t="n">
        <x:v>110</x:v>
      </x:c>
      <x:c r="J26" s="12" t="n">
        <x:v>0.15</x:v>
      </x:c>
      <x:c r="K26" s="11" t="n">
        <x:f>H26*I26*(1-J26)</x:f>
        <x:v>2057</x:v>
      </x:c>
      <x:c r="L26" s="11" t="n">
        <x:f>H26*(I26*0.62)</x:f>
        <x:v>1500.4</x:v>
      </x:c>
      <x:c r="M26" s="11" t="n">
        <x:f>K26-L26</x:f>
        <x:v>556.5999999999999</x:v>
      </x:c>
      <x:c r="N26" s="8" t="str">
        <x:v>Partner</x:v>
      </x:c>
      <x:c r="O26" s="8" t="str">
        <x:v>Bank Transfer</x:v>
      </x:c>
      <x:c r="P26" s="8" t="str">
        <x:v>Closed Won</x:v>
      </x:c>
    </x:row>
    <x:row r="27">
      <x:c r="A27" s="8" t="str">
        <x:v>ORD-2025026</x:v>
      </x:c>
      <x:c r="B27" s="9" t="n">
        <x:v>45954</x:v>
      </x:c>
      <x:c r="C27" s="8" t="str">
        <x:v>Central</x:v>
      </x:c>
      <x:c r="D27" s="8" t="str">
        <x:v>Ava Patel</x:v>
      </x:c>
      <x:c r="E27" s="8" t="str">
        <x:v>BrightPath LLC</x:v>
      </x:c>
      <x:c r="F27" s="8" t="str">
        <x:v>Hardware</x:v>
      </x:c>
      <x:c r="G27" s="8" t="str">
        <x:v>Laptop X</x:v>
      </x:c>
      <x:c r="H27" s="10" t="n">
        <x:v>2</x:v>
      </x:c>
      <x:c r="I27" s="11" t="n">
        <x:v>1500</x:v>
      </x:c>
      <x:c r="J27" s="12" t="n">
        <x:v>0</x:v>
      </x:c>
      <x:c r="K27" s="11" t="n">
        <x:f>H27*I27*(1-J27)</x:f>
        <x:v>3000</x:v>
      </x:c>
      <x:c r="L27" s="11" t="n">
        <x:f>H27*(I27*0.62)</x:f>
        <x:v>1860</x:v>
      </x:c>
      <x:c r="M27" s="11" t="n">
        <x:f>K27-L27</x:f>
        <x:v>1140</x:v>
      </x:c>
      <x:c r="N27" s="8" t="str">
        <x:v>Online</x:v>
      </x:c>
      <x:c r="O27" s="8" t="str">
        <x:v>PayPal</x:v>
      </x:c>
      <x:c r="P27" s="8" t="str">
        <x:v>Pending</x:v>
      </x:c>
    </x:row>
    <x:row r="28">
      <x:c r="A28" s="8" t="str">
        <x:v>ORD-2025027</x:v>
      </x:c>
      <x:c r="B28" s="9" t="n">
        <x:v>45918</x:v>
      </x:c>
      <x:c r="C28" s="8" t="str">
        <x:v>North</x:v>
      </x:c>
      <x:c r="D28" s="8" t="str">
        <x:v>Noah Davis</x:v>
      </x:c>
      <x:c r="E28" s="8" t="str">
        <x:v>BlueSky LLC</x:v>
      </x:c>
      <x:c r="F28" s="8" t="str">
        <x:v>Hardware</x:v>
      </x:c>
      <x:c r="G28" s="8" t="str">
        <x:v>Laptop X</x:v>
      </x:c>
      <x:c r="H28" s="10" t="n">
        <x:v>20</x:v>
      </x:c>
      <x:c r="I28" s="11" t="n">
        <x:v>1500</x:v>
      </x:c>
      <x:c r="J28" s="12" t="n">
        <x:v>0</x:v>
      </x:c>
      <x:c r="K28" s="11" t="n">
        <x:f>H28*I28*(1-J28)</x:f>
        <x:v>30000</x:v>
      </x:c>
      <x:c r="L28" s="11" t="n">
        <x:f>H28*(I28*0.62)</x:f>
        <x:v>18600</x:v>
      </x:c>
      <x:c r="M28" s="11" t="n">
        <x:f>K28-L28</x:f>
        <x:v>11400</x:v>
      </x:c>
      <x:c r="N28" s="8" t="str">
        <x:v>Online</x:v>
      </x:c>
      <x:c r="O28" s="8" t="str">
        <x:v>Bank Transfer</x:v>
      </x:c>
      <x:c r="P28" s="8" t="str">
        <x:v>Closed Won</x:v>
      </x:c>
    </x:row>
    <x:row r="29">
      <x:c r="A29" s="8" t="str">
        <x:v>ORD-2025028</x:v>
      </x:c>
      <x:c r="B29" s="9" t="n">
        <x:v>45975</x:v>
      </x:c>
      <x:c r="C29" s="8" t="str">
        <x:v>North</x:v>
      </x:c>
      <x:c r="D29" s="8" t="str">
        <x:v>Lucas Brown</x:v>
      </x:c>
      <x:c r="E29" s="8" t="str">
        <x:v>Ironwood Co</x:v>
      </x:c>
      <x:c r="F29" s="8" t="str">
        <x:v>Hardware</x:v>
      </x:c>
      <x:c r="G29" s="8" t="str">
        <x:v>Laptop X</x:v>
      </x:c>
      <x:c r="H29" s="10" t="n">
        <x:v>19</x:v>
      </x:c>
      <x:c r="I29" s="11" t="n">
        <x:v>1500</x:v>
      </x:c>
      <x:c r="J29" s="12" t="n">
        <x:v>0.1</x:v>
      </x:c>
      <x:c r="K29" s="11" t="n">
        <x:f>H29*I29*(1-J29)</x:f>
        <x:v>25650</x:v>
      </x:c>
      <x:c r="L29" s="11" t="n">
        <x:f>H29*(I29*0.62)</x:f>
        <x:v>17670</x:v>
      </x:c>
      <x:c r="M29" s="11" t="n">
        <x:f>K29-L29</x:f>
        <x:v>7980</x:v>
      </x:c>
      <x:c r="N29" s="8" t="str">
        <x:v>Partner</x:v>
      </x:c>
      <x:c r="O29" s="8" t="str">
        <x:v>Invoice</x:v>
      </x:c>
      <x:c r="P29" s="8" t="str">
        <x:v>Closed Won</x:v>
      </x:c>
    </x:row>
    <x:row r="30">
      <x:c r="A30" s="8" t="str">
        <x:v>ORD-2025029</x:v>
      </x:c>
      <x:c r="B30" s="9" t="n">
        <x:v>45793</x:v>
      </x:c>
      <x:c r="C30" s="8" t="str">
        <x:v>West</x:v>
      </x:c>
      <x:c r="D30" s="8" t="str">
        <x:v>Noah Davis</x:v>
      </x:c>
      <x:c r="E30" s="8" t="str">
        <x:v>Vertex Co</x:v>
      </x:c>
      <x:c r="F30" s="8" t="str">
        <x:v>Services</x:v>
      </x:c>
      <x:c r="G30" s="8" t="str">
        <x:v>Training</x:v>
      </x:c>
      <x:c r="H30" s="10" t="n">
        <x:v>15</x:v>
      </x:c>
      <x:c r="I30" s="11" t="n">
        <x:v>900</x:v>
      </x:c>
      <x:c r="J30" s="12" t="n">
        <x:v>0</x:v>
      </x:c>
      <x:c r="K30" s="11" t="n">
        <x:f>H30*I30*(1-J30)</x:f>
        <x:v>13500</x:v>
      </x:c>
      <x:c r="L30" s="11" t="n">
        <x:f>H30*(I30*0.62)</x:f>
        <x:v>8370</x:v>
      </x:c>
      <x:c r="M30" s="11" t="n">
        <x:f>K30-L30</x:f>
        <x:v>5130</x:v>
      </x:c>
      <x:c r="N30" s="8" t="str">
        <x:v>Direct</x:v>
      </x:c>
      <x:c r="O30" s="8" t="str">
        <x:v>Credit Card</x:v>
      </x:c>
      <x:c r="P30" s="8" t="str">
        <x:v>Pending</x:v>
      </x:c>
    </x:row>
    <x:row r="31">
      <x:c r="A31" s="8" t="str">
        <x:v>ORD-2025030</x:v>
      </x:c>
      <x:c r="B31" s="9" t="n">
        <x:v>45933</x:v>
      </x:c>
      <x:c r="C31" s="8" t="str">
        <x:v>South</x:v>
      </x:c>
      <x:c r="D31" s="8" t="str">
        <x:v>Mason Lee</x:v>
      </x:c>
      <x:c r="E31" s="8" t="str">
        <x:v>Prime Inc</x:v>
      </x:c>
      <x:c r="F31" s="8" t="str">
        <x:v>Software</x:v>
      </x:c>
      <x:c r="G31" s="8" t="str">
        <x:v>CRM Pro</x:v>
      </x:c>
      <x:c r="H31" s="10" t="n">
        <x:v>5</x:v>
      </x:c>
      <x:c r="I31" s="11" t="n">
        <x:v>1200</x:v>
      </x:c>
      <x:c r="J31" s="12" t="n">
        <x:v>0</x:v>
      </x:c>
      <x:c r="K31" s="11" t="n">
        <x:f>H31*I31*(1-J31)</x:f>
        <x:v>6000</x:v>
      </x:c>
      <x:c r="L31" s="11" t="n">
        <x:f>H31*(I31*0.62)</x:f>
        <x:v>3720</x:v>
      </x:c>
      <x:c r="M31" s="11" t="n">
        <x:f>K31-L31</x:f>
        <x:v>2280</x:v>
      </x:c>
      <x:c r="N31" s="8" t="str">
        <x:v>Direct</x:v>
      </x:c>
      <x:c r="O31" s="8" t="str">
        <x:v>Bank Transfer</x:v>
      </x:c>
      <x:c r="P31" s="8" t="str">
        <x:v>Closed Won</x:v>
      </x:c>
    </x:row>
    <x:row r="32">
      <x:c r="A32" s="8" t="str">
        <x:v>ORD-2025031</x:v>
      </x:c>
      <x:c r="B32" s="9" t="n">
        <x:v>45936</x:v>
      </x:c>
      <x:c r="C32" s="8" t="str">
        <x:v>East</x:v>
      </x:c>
      <x:c r="D32" s="8" t="str">
        <x:v>Emma Martin</x:v>
      </x:c>
      <x:c r="E32" s="8" t="str">
        <x:v>Southridge Group</x:v>
      </x:c>
      <x:c r="F32" s="8" t="str">
        <x:v>Hardware</x:v>
      </x:c>
      <x:c r="G32" s="8" t="str">
        <x:v>Monitor 27</x:v>
      </x:c>
      <x:c r="H32" s="10" t="n">
        <x:v>1</x:v>
      </x:c>
      <x:c r="I32" s="11" t="n">
        <x:v>320</x:v>
      </x:c>
      <x:c r="J32" s="12" t="n">
        <x:v>0.15</x:v>
      </x:c>
      <x:c r="K32" s="11" t="n">
        <x:f>H32*I32*(1-J32)</x:f>
        <x:v>272</x:v>
      </x:c>
      <x:c r="L32" s="11" t="n">
        <x:f>H32*(I32*0.62)</x:f>
        <x:v>198.4</x:v>
      </x:c>
      <x:c r="M32" s="11" t="n">
        <x:f>K32-L32</x:f>
        <x:v>73.6</x:v>
      </x:c>
      <x:c r="N32" s="8" t="str">
        <x:v>Online</x:v>
      </x:c>
      <x:c r="O32" s="8" t="str">
        <x:v>Invoice</x:v>
      </x:c>
      <x:c r="P32" s="8" t="str">
        <x:v>Cancelled</x:v>
      </x:c>
    </x:row>
    <x:row r="33">
      <x:c r="A33" s="8" t="str">
        <x:v>ORD-2025032</x:v>
      </x:c>
      <x:c r="B33" s="9" t="n">
        <x:v>45793</x:v>
      </x:c>
      <x:c r="C33" s="8" t="str">
        <x:v>North</x:v>
      </x:c>
      <x:c r="D33" s="8" t="str">
        <x:v>Liam Chen</x:v>
      </x:c>
      <x:c r="E33" s="8" t="str">
        <x:v>Maple Co</x:v>
      </x:c>
      <x:c r="F33" s="8" t="str">
        <x:v>Software</x:v>
      </x:c>
      <x:c r="G33" s="8" t="str">
        <x:v>Analytics Cloud</x:v>
      </x:c>
      <x:c r="H33" s="10" t="n">
        <x:v>5</x:v>
      </x:c>
      <x:c r="I33" s="11" t="n">
        <x:v>1800</x:v>
      </x:c>
      <x:c r="J33" s="12" t="n">
        <x:v>0</x:v>
      </x:c>
      <x:c r="K33" s="11" t="n">
        <x:f>H33*I33*(1-J33)</x:f>
        <x:v>9000</x:v>
      </x:c>
      <x:c r="L33" s="11" t="n">
        <x:f>H33*(I33*0.62)</x:f>
        <x:v>5580</x:v>
      </x:c>
      <x:c r="M33" s="11" t="n">
        <x:f>K33-L33</x:f>
        <x:v>3420</x:v>
      </x:c>
      <x:c r="N33" s="8" t="str">
        <x:v>Partner</x:v>
      </x:c>
      <x:c r="O33" s="8" t="str">
        <x:v>Bank Transfer</x:v>
      </x:c>
      <x:c r="P33" s="8" t="str">
        <x:v>Shipped</x:v>
      </x:c>
    </x:row>
    <x:row r="34">
      <x:c r="A34" s="8" t="str">
        <x:v>ORD-2025033</x:v>
      </x:c>
      <x:c r="B34" s="9" t="n">
        <x:v>45916</x:v>
      </x:c>
      <x:c r="C34" s="8" t="str">
        <x:v>West</x:v>
      </x:c>
      <x:c r="D34" s="8" t="str">
        <x:v>Ethan Garcia</x:v>
      </x:c>
      <x:c r="E34" s="8" t="str">
        <x:v>Summit Co</x:v>
      </x:c>
      <x:c r="F34" s="8" t="str">
        <x:v>Hardware</x:v>
      </x:c>
      <x:c r="G34" s="8" t="str">
        <x:v>Dock Station</x:v>
      </x:c>
      <x:c r="H34" s="10" t="n">
        <x:v>3</x:v>
      </x:c>
      <x:c r="I34" s="11" t="n">
        <x:v>180</x:v>
      </x:c>
      <x:c r="J34" s="12" t="n">
        <x:v>0.15</x:v>
      </x:c>
      <x:c r="K34" s="11" t="n">
        <x:f>H34*I34*(1-J34)</x:f>
        <x:v>459</x:v>
      </x:c>
      <x:c r="L34" s="11" t="n">
        <x:f>H34*(I34*0.62)</x:f>
        <x:v>334.79999999999995</x:v>
      </x:c>
      <x:c r="M34" s="11" t="n">
        <x:f>K34-L34</x:f>
        <x:v>124.20000000000005</x:v>
      </x:c>
      <x:c r="N34" s="8" t="str">
        <x:v>Partner</x:v>
      </x:c>
      <x:c r="O34" s="8" t="str">
        <x:v>Invoice</x:v>
      </x:c>
      <x:c r="P34" s="8" t="str">
        <x:v>Closed Won</x:v>
      </x:c>
    </x:row>
    <x:row r="35">
      <x:c r="A35" s="8" t="str">
        <x:v>ORD-2025034</x:v>
      </x:c>
      <x:c r="B35" s="9" t="n">
        <x:v>45984</x:v>
      </x:c>
      <x:c r="C35" s="8" t="str">
        <x:v>East</x:v>
      </x:c>
      <x:c r="D35" s="8" t="str">
        <x:v>Noah Davis</x:v>
      </x:c>
      <x:c r="E35" s="8" t="str">
        <x:v>GoldenGate LLC</x:v>
      </x:c>
      <x:c r="F35" s="8" t="str">
        <x:v>Services</x:v>
      </x:c>
      <x:c r="G35" s="8" t="str">
        <x:v>Training</x:v>
      </x:c>
      <x:c r="H35" s="10" t="n">
        <x:v>18</x:v>
      </x:c>
      <x:c r="I35" s="11" t="n">
        <x:v>900</x:v>
      </x:c>
      <x:c r="J35" s="12" t="n">
        <x:v>0.15</x:v>
      </x:c>
      <x:c r="K35" s="11" t="n">
        <x:f>H35*I35*(1-J35)</x:f>
        <x:v>13770</x:v>
      </x:c>
      <x:c r="L35" s="11" t="n">
        <x:f>H35*(I35*0.62)</x:f>
        <x:v>10044</x:v>
      </x:c>
      <x:c r="M35" s="11" t="n">
        <x:f>K35-L35</x:f>
        <x:v>3726</x:v>
      </x:c>
      <x:c r="N35" s="8" t="str">
        <x:v>Partner</x:v>
      </x:c>
      <x:c r="O35" s="8" t="str">
        <x:v>Credit Card</x:v>
      </x:c>
      <x:c r="P35" s="8" t="str">
        <x:v>Closed Won</x:v>
      </x:c>
    </x:row>
    <x:row r="36">
      <x:c r="A36" s="8" t="str">
        <x:v>ORD-2025035</x:v>
      </x:c>
      <x:c r="B36" s="9" t="n">
        <x:v>45847</x:v>
      </x:c>
      <x:c r="C36" s="8" t="str">
        <x:v>Central</x:v>
      </x:c>
      <x:c r="D36" s="8" t="str">
        <x:v>Mason Lee</x:v>
      </x:c>
      <x:c r="E36" s="8" t="str">
        <x:v>Urban Co</x:v>
      </x:c>
      <x:c r="F36" s="8" t="str">
        <x:v>Hardware</x:v>
      </x:c>
      <x:c r="G36" s="8" t="str">
        <x:v>Laptop X</x:v>
      </x:c>
      <x:c r="H36" s="10" t="n">
        <x:v>14</x:v>
      </x:c>
      <x:c r="I36" s="11" t="n">
        <x:v>1500</x:v>
      </x:c>
      <x:c r="J36" s="12" t="n">
        <x:v>0</x:v>
      </x:c>
      <x:c r="K36" s="11" t="n">
        <x:f>H36*I36*(1-J36)</x:f>
        <x:v>21000</x:v>
      </x:c>
      <x:c r="L36" s="11" t="n">
        <x:f>H36*(I36*0.62)</x:f>
        <x:v>13020</x:v>
      </x:c>
      <x:c r="M36" s="11" t="n">
        <x:f>K36-L36</x:f>
        <x:v>7980</x:v>
      </x:c>
      <x:c r="N36" s="8" t="str">
        <x:v>Direct</x:v>
      </x:c>
      <x:c r="O36" s="8" t="str">
        <x:v>Invoice</x:v>
      </x:c>
      <x:c r="P36" s="8" t="str">
        <x:v>Closed Won</x:v>
      </x:c>
    </x:row>
    <x:row r="37">
      <x:c r="A37" s="8" t="str">
        <x:v>ORD-2025036</x:v>
      </x:c>
      <x:c r="B37" s="9" t="n">
        <x:v>45765</x:v>
      </x:c>
      <x:c r="C37" s="8" t="str">
        <x:v>South</x:v>
      </x:c>
      <x:c r="D37" s="8" t="str">
        <x:v>Liam Chen</x:v>
      </x:c>
      <x:c r="E37" s="8" t="str">
        <x:v>Harbor Inc</x:v>
      </x:c>
      <x:c r="F37" s="8" t="str">
        <x:v>Software</x:v>
      </x:c>
      <x:c r="G37" s="8" t="str">
        <x:v>HR Suite</x:v>
      </x:c>
      <x:c r="H37" s="10" t="n">
        <x:v>25</x:v>
      </x:c>
      <x:c r="I37" s="11" t="n">
        <x:v>950</x:v>
      </x:c>
      <x:c r="J37" s="12" t="n">
        <x:v>0.1</x:v>
      </x:c>
      <x:c r="K37" s="11" t="n">
        <x:f>H37*I37*(1-J37)</x:f>
        <x:v>21375</x:v>
      </x:c>
      <x:c r="L37" s="11" t="n">
        <x:f>H37*(I37*0.62)</x:f>
        <x:v>14725</x:v>
      </x:c>
      <x:c r="M37" s="11" t="n">
        <x:f>K37-L37</x:f>
        <x:v>6650</x:v>
      </x:c>
      <x:c r="N37" s="8" t="str">
        <x:v>Partner</x:v>
      </x:c>
      <x:c r="O37" s="8" t="str">
        <x:v>Bank Transfer</x:v>
      </x:c>
      <x:c r="P37" s="8" t="str">
        <x:v>Cancelled</x:v>
      </x:c>
    </x:row>
    <x:row r="38">
      <x:c r="A38" s="8" t="str">
        <x:v>ORD-2025037</x:v>
      </x:c>
      <x:c r="B38" s="9" t="n">
        <x:v>45748</x:v>
      </x:c>
      <x:c r="C38" s="8" t="str">
        <x:v>West</x:v>
      </x:c>
      <x:c r="D38" s="8" t="str">
        <x:v>Ava Patel</x:v>
      </x:c>
      <x:c r="E38" s="8" t="str">
        <x:v>GreenLeaf Co</x:v>
      </x:c>
      <x:c r="F38" s="8" t="str">
        <x:v>Hardware</x:v>
      </x:c>
      <x:c r="G38" s="8" t="str">
        <x:v>Tablet Air</x:v>
      </x:c>
      <x:c r="H38" s="10" t="n">
        <x:v>24</x:v>
      </x:c>
      <x:c r="I38" s="11" t="n">
        <x:v>820</x:v>
      </x:c>
      <x:c r="J38" s="12" t="n">
        <x:v>0</x:v>
      </x:c>
      <x:c r="K38" s="11" t="n">
        <x:f>H38*I38*(1-J38)</x:f>
        <x:v>19680</x:v>
      </x:c>
      <x:c r="L38" s="11" t="n">
        <x:f>H38*(I38*0.62)</x:f>
        <x:v>12201.599999999999</x:v>
      </x:c>
      <x:c r="M38" s="11" t="n">
        <x:f>K38-L38</x:f>
        <x:v>7478.4000000000015</x:v>
      </x:c>
      <x:c r="N38" s="8" t="str">
        <x:v>Partner</x:v>
      </x:c>
      <x:c r="O38" s="8" t="str">
        <x:v>Bank Transfer</x:v>
      </x:c>
      <x:c r="P38" s="8" t="str">
        <x:v>Closed Won</x:v>
      </x:c>
    </x:row>
    <x:row r="39">
      <x:c r="A39" s="8" t="str">
        <x:v>ORD-2025038</x:v>
      </x:c>
      <x:c r="B39" s="9" t="n">
        <x:v>45677</x:v>
      </x:c>
      <x:c r="C39" s="8" t="str">
        <x:v>West</x:v>
      </x:c>
      <x:c r="D39" s="8" t="str">
        <x:v>Mia Johnson</x:v>
      </x:c>
      <x:c r="E39" s="8" t="str">
        <x:v>Nexus Inc</x:v>
      </x:c>
      <x:c r="F39" s="8" t="str">
        <x:v>Software</x:v>
      </x:c>
      <x:c r="G39" s="8" t="str">
        <x:v>ProjectFlow</x:v>
      </x:c>
      <x:c r="H39" s="10" t="n">
        <x:v>15</x:v>
      </x:c>
      <x:c r="I39" s="11" t="n">
        <x:v>700</x:v>
      </x:c>
      <x:c r="J39" s="12" t="n">
        <x:v>0</x:v>
      </x:c>
      <x:c r="K39" s="11" t="n">
        <x:f>H39*I39*(1-J39)</x:f>
        <x:v>10500</x:v>
      </x:c>
      <x:c r="L39" s="11" t="n">
        <x:f>H39*(I39*0.62)</x:f>
        <x:v>6510</x:v>
      </x:c>
      <x:c r="M39" s="11" t="n">
        <x:f>K39-L39</x:f>
        <x:v>3990</x:v>
      </x:c>
      <x:c r="N39" s="8" t="str">
        <x:v>Partner</x:v>
      </x:c>
      <x:c r="O39" s="8" t="str">
        <x:v>Bank Transfer</x:v>
      </x:c>
      <x:c r="P39" s="8" t="str">
        <x:v>Closed Won</x:v>
      </x:c>
    </x:row>
    <x:row r="40">
      <x:c r="A40" s="8" t="str">
        <x:v>ORD-2025039</x:v>
      </x:c>
      <x:c r="B40" s="9" t="n">
        <x:v>45826</x:v>
      </x:c>
      <x:c r="C40" s="8" t="str">
        <x:v>East</x:v>
      </x:c>
      <x:c r="D40" s="8" t="str">
        <x:v>Liam Chen</x:v>
      </x:c>
      <x:c r="E40" s="8" t="str">
        <x:v>Prime Group</x:v>
      </x:c>
      <x:c r="F40" s="8" t="str">
        <x:v>Hardware</x:v>
      </x:c>
      <x:c r="G40" s="8" t="str">
        <x:v>Monitor 27</x:v>
      </x:c>
      <x:c r="H40" s="10" t="n">
        <x:v>12</x:v>
      </x:c>
      <x:c r="I40" s="11" t="n">
        <x:v>320</x:v>
      </x:c>
      <x:c r="J40" s="12" t="n">
        <x:v>0.15</x:v>
      </x:c>
      <x:c r="K40" s="11" t="n">
        <x:f>H40*I40*(1-J40)</x:f>
        <x:v>3264</x:v>
      </x:c>
      <x:c r="L40" s="11" t="n">
        <x:f>H40*(I40*0.62)</x:f>
        <x:v>2380.8</x:v>
      </x:c>
      <x:c r="M40" s="11" t="n">
        <x:f>K40-L40</x:f>
        <x:v>883.1999999999998</x:v>
      </x:c>
      <x:c r="N40" s="8" t="str">
        <x:v>Online</x:v>
      </x:c>
      <x:c r="O40" s="8" t="str">
        <x:v>PayPal</x:v>
      </x:c>
      <x:c r="P40" s="8" t="str">
        <x:v>Shipped</x:v>
      </x:c>
    </x:row>
    <x:row r="41">
      <x:c r="A41" s="8" t="str">
        <x:v>ORD-2025040</x:v>
      </x:c>
      <x:c r="B41" s="9" t="n">
        <x:v>45717</x:v>
      </x:c>
      <x:c r="C41" s="8" t="str">
        <x:v>East</x:v>
      </x:c>
      <x:c r="D41" s="8" t="str">
        <x:v>Noah Davis</x:v>
      </x:c>
      <x:c r="E41" s="8" t="str">
        <x:v>Ironwood Co</x:v>
      </x:c>
      <x:c r="F41" s="8" t="str">
        <x:v>Services</x:v>
      </x:c>
      <x:c r="G41" s="8" t="str">
        <x:v>Implementation</x:v>
      </x:c>
      <x:c r="H41" s="10" t="n">
        <x:v>9</x:v>
      </x:c>
      <x:c r="I41" s="11" t="n">
        <x:v>2500</x:v>
      </x:c>
      <x:c r="J41" s="12" t="n">
        <x:v>0</x:v>
      </x:c>
      <x:c r="K41" s="11" t="n">
        <x:f>H41*I41*(1-J41)</x:f>
        <x:v>22500</x:v>
      </x:c>
      <x:c r="L41" s="11" t="n">
        <x:f>H41*(I41*0.62)</x:f>
        <x:v>13950</x:v>
      </x:c>
      <x:c r="M41" s="11" t="n">
        <x:f>K41-L41</x:f>
        <x:v>8550</x:v>
      </x:c>
      <x:c r="N41" s="8" t="str">
        <x:v>Direct</x:v>
      </x:c>
      <x:c r="O41" s="8" t="str">
        <x:v>PayPal</x:v>
      </x:c>
      <x:c r="P41" s="8" t="str">
        <x:v>Closed Won</x:v>
      </x:c>
    </x:row>
    <x:row r="42">
      <x:c r="A42" s="8" t="str">
        <x:v>ORD-2025041</x:v>
      </x:c>
      <x:c r="B42" s="9" t="n">
        <x:v>45968</x:v>
      </x:c>
      <x:c r="C42" s="8" t="str">
        <x:v>Central</x:v>
      </x:c>
      <x:c r="D42" s="8" t="str">
        <x:v>Liam Chen</x:v>
      </x:c>
      <x:c r="E42" s="8" t="str">
        <x:v>SilverLine Inc</x:v>
      </x:c>
      <x:c r="F42" s="8" t="str">
        <x:v>Services</x:v>
      </x:c>
      <x:c r="G42" s="8" t="str">
        <x:v>Consulting Day</x:v>
      </x:c>
      <x:c r="H42" s="10" t="n">
        <x:v>19</x:v>
      </x:c>
      <x:c r="I42" s="11" t="n">
        <x:v>1400</x:v>
      </x:c>
      <x:c r="J42" s="12" t="n">
        <x:v>0</x:v>
      </x:c>
      <x:c r="K42" s="11" t="n">
        <x:f>H42*I42*(1-J42)</x:f>
        <x:v>26600</x:v>
      </x:c>
      <x:c r="L42" s="11" t="n">
        <x:f>H42*(I42*0.62)</x:f>
        <x:v>16492</x:v>
      </x:c>
      <x:c r="M42" s="11" t="n">
        <x:f>K42-L42</x:f>
        <x:v>10108</x:v>
      </x:c>
      <x:c r="N42" s="8" t="str">
        <x:v>Partner</x:v>
      </x:c>
      <x:c r="O42" s="8" t="str">
        <x:v>Credit Card</x:v>
      </x:c>
      <x:c r="P42" s="8" t="str">
        <x:v>Shipped</x:v>
      </x:c>
    </x:row>
    <x:row r="43">
      <x:c r="A43" s="8" t="str">
        <x:v>ORD-2025042</x:v>
      </x:c>
      <x:c r="B43" s="9" t="n">
        <x:v>45844</x:v>
      </x:c>
      <x:c r="C43" s="8" t="str">
        <x:v>West</x:v>
      </x:c>
      <x:c r="D43" s="8" t="str">
        <x:v>Liam Chen</x:v>
      </x:c>
      <x:c r="E43" s="8" t="str">
        <x:v>BrightPath Co</x:v>
      </x:c>
      <x:c r="F43" s="8" t="str">
        <x:v>Software</x:v>
      </x:c>
      <x:c r="G43" s="8" t="str">
        <x:v>Analytics Cloud</x:v>
      </x:c>
      <x:c r="H43" s="10" t="n">
        <x:v>20</x:v>
      </x:c>
      <x:c r="I43" s="11" t="n">
        <x:v>1800</x:v>
      </x:c>
      <x:c r="J43" s="12" t="n">
        <x:v>0</x:v>
      </x:c>
      <x:c r="K43" s="11" t="n">
        <x:f>H43*I43*(1-J43)</x:f>
        <x:v>36000</x:v>
      </x:c>
      <x:c r="L43" s="11" t="n">
        <x:f>H43*(I43*0.62)</x:f>
        <x:v>22320</x:v>
      </x:c>
      <x:c r="M43" s="11" t="n">
        <x:f>K43-L43</x:f>
        <x:v>13680</x:v>
      </x:c>
      <x:c r="N43" s="8" t="str">
        <x:v>Online</x:v>
      </x:c>
      <x:c r="O43" s="8" t="str">
        <x:v>Credit Card</x:v>
      </x:c>
      <x:c r="P43" s="8" t="str">
        <x:v>Shipped</x:v>
      </x:c>
    </x:row>
    <x:row r="44">
      <x:c r="A44" s="8" t="str">
        <x:v>ORD-2025043</x:v>
      </x:c>
      <x:c r="B44" s="9" t="n">
        <x:v>45999</x:v>
      </x:c>
      <x:c r="C44" s="8" t="str">
        <x:v>West</x:v>
      </x:c>
      <x:c r="D44" s="8" t="str">
        <x:v>Sophia Kim</x:v>
      </x:c>
      <x:c r="E44" s="8" t="str">
        <x:v>SilverLine Group</x:v>
      </x:c>
      <x:c r="F44" s="8" t="str">
        <x:v>Services</x:v>
      </x:c>
      <x:c r="G44" s="8" t="str">
        <x:v>Support Plus</x:v>
      </x:c>
      <x:c r="H44" s="10" t="n">
        <x:v>23</x:v>
      </x:c>
      <x:c r="I44" s="11" t="n">
        <x:v>650</x:v>
      </x:c>
      <x:c r="J44" s="12" t="n">
        <x:v>0</x:v>
      </x:c>
      <x:c r="K44" s="11" t="n">
        <x:f>H44*I44*(1-J44)</x:f>
        <x:v>14950</x:v>
      </x:c>
      <x:c r="L44" s="11" t="n">
        <x:f>H44*(I44*0.62)</x:f>
        <x:v>9269</x:v>
      </x:c>
      <x:c r="M44" s="11" t="n">
        <x:f>K44-L44</x:f>
        <x:v>5681</x:v>
      </x:c>
      <x:c r="N44" s="8" t="str">
        <x:v>Online</x:v>
      </x:c>
      <x:c r="O44" s="8" t="str">
        <x:v>Bank Transfer</x:v>
      </x:c>
      <x:c r="P44" s="8" t="str">
        <x:v>Closed Won</x:v>
      </x:c>
    </x:row>
    <x:row r="45">
      <x:c r="A45" s="8" t="str">
        <x:v>ORD-2025044</x:v>
      </x:c>
      <x:c r="B45" s="9" t="n">
        <x:v>45973</x:v>
      </x:c>
      <x:c r="C45" s="8" t="str">
        <x:v>Central</x:v>
      </x:c>
      <x:c r="D45" s="8" t="str">
        <x:v>Ethan Garcia</x:v>
      </x:c>
      <x:c r="E45" s="8" t="str">
        <x:v>SilverLine Group</x:v>
      </x:c>
      <x:c r="F45" s="8" t="str">
        <x:v>Accessories</x:v>
      </x:c>
      <x:c r="G45" s="8" t="str">
        <x:v>Keyboard Pro</x:v>
      </x:c>
      <x:c r="H45" s="10" t="n">
        <x:v>18</x:v>
      </x:c>
      <x:c r="I45" s="11" t="n">
        <x:v>95</x:v>
      </x:c>
      <x:c r="J45" s="12" t="n">
        <x:v>0.2</x:v>
      </x:c>
      <x:c r="K45" s="11" t="n">
        <x:f>H45*I45*(1-J45)</x:f>
        <x:v>1368</x:v>
      </x:c>
      <x:c r="L45" s="11" t="n">
        <x:f>H45*(I45*0.62)</x:f>
        <x:v>1060.2</x:v>
      </x:c>
      <x:c r="M45" s="11" t="n">
        <x:f>K45-L45</x:f>
        <x:v>307.79999999999995</x:v>
      </x:c>
      <x:c r="N45" s="8" t="str">
        <x:v>Direct</x:v>
      </x:c>
      <x:c r="O45" s="8" t="str">
        <x:v>Invoice</x:v>
      </x:c>
      <x:c r="P45" s="8" t="str">
        <x:v>Closed Won</x:v>
      </x:c>
    </x:row>
    <x:row r="46">
      <x:c r="A46" s="8" t="str">
        <x:v>ORD-2025045</x:v>
      </x:c>
      <x:c r="B46" s="9" t="n">
        <x:v>45896</x:v>
      </x:c>
      <x:c r="C46" s="8" t="str">
        <x:v>West</x:v>
      </x:c>
      <x:c r="D46" s="8" t="str">
        <x:v>Olivia Wilson</x:v>
      </x:c>
      <x:c r="E46" s="8" t="str">
        <x:v>Nexus Group</x:v>
      </x:c>
      <x:c r="F46" s="8" t="str">
        <x:v>Accessories</x:v>
      </x:c>
      <x:c r="G46" s="8" t="str">
        <x:v>Webcam HD</x:v>
      </x:c>
      <x:c r="H46" s="10" t="n">
        <x:v>17</x:v>
      </x:c>
      <x:c r="I46" s="11" t="n">
        <x:v>110</x:v>
      </x:c>
      <x:c r="J46" s="12" t="n">
        <x:v>0.05</x:v>
      </x:c>
      <x:c r="K46" s="11" t="n">
        <x:f>H46*I46*(1-J46)</x:f>
        <x:v>1776.5</x:v>
      </x:c>
      <x:c r="L46" s="11" t="n">
        <x:f>H46*(I46*0.62)</x:f>
        <x:v>1159.4</x:v>
      </x:c>
      <x:c r="M46" s="11" t="n">
        <x:f>K46-L46</x:f>
        <x:v>617.0999999999999</x:v>
      </x:c>
      <x:c r="N46" s="8" t="str">
        <x:v>Online</x:v>
      </x:c>
      <x:c r="O46" s="8" t="str">
        <x:v>Bank Transfer</x:v>
      </x:c>
      <x:c r="P46" s="8" t="str">
        <x:v>Shipped</x:v>
      </x:c>
    </x:row>
    <x:row r="47">
      <x:c r="A47" s="8" t="str">
        <x:v>ORD-2025046</x:v>
      </x:c>
      <x:c r="B47" s="9" t="n">
        <x:v>45705</x:v>
      </x:c>
      <x:c r="C47" s="8" t="str">
        <x:v>South</x:v>
      </x:c>
      <x:c r="D47" s="8" t="str">
        <x:v>Ethan Garcia</x:v>
      </x:c>
      <x:c r="E47" s="8" t="str">
        <x:v>Cedar LLC</x:v>
      </x:c>
      <x:c r="F47" s="8" t="str">
        <x:v>Services</x:v>
      </x:c>
      <x:c r="G47" s="8" t="str">
        <x:v>Support Plus</x:v>
      </x:c>
      <x:c r="H47" s="10" t="n">
        <x:v>7</x:v>
      </x:c>
      <x:c r="I47" s="11" t="n">
        <x:v>650</x:v>
      </x:c>
      <x:c r="J47" s="12" t="n">
        <x:v>0</x:v>
      </x:c>
      <x:c r="K47" s="11" t="n">
        <x:f>H47*I47*(1-J47)</x:f>
        <x:v>4550</x:v>
      </x:c>
      <x:c r="L47" s="11" t="n">
        <x:f>H47*(I47*0.62)</x:f>
        <x:v>2821</x:v>
      </x:c>
      <x:c r="M47" s="11" t="n">
        <x:f>K47-L47</x:f>
        <x:v>1729</x:v>
      </x:c>
      <x:c r="N47" s="8" t="str">
        <x:v>Direct</x:v>
      </x:c>
      <x:c r="O47" s="8" t="str">
        <x:v>Credit Card</x:v>
      </x:c>
      <x:c r="P47" s="8" t="str">
        <x:v>Closed Won</x:v>
      </x:c>
    </x:row>
    <x:row r="48">
      <x:c r="A48" s="8" t="str">
        <x:v>ORD-2025047</x:v>
      </x:c>
      <x:c r="B48" s="9" t="n">
        <x:v>45891</x:v>
      </x:c>
      <x:c r="C48" s="8" t="str">
        <x:v>West</x:v>
      </x:c>
      <x:c r="D48" s="8" t="str">
        <x:v>Emma Martin</x:v>
      </x:c>
      <x:c r="E48" s="8" t="str">
        <x:v>Nexus LLC</x:v>
      </x:c>
      <x:c r="F48" s="8" t="str">
        <x:v>Accessories</x:v>
      </x:c>
      <x:c r="G48" s="8" t="str">
        <x:v>Wireless Mouse</x:v>
      </x:c>
      <x:c r="H48" s="10" t="n">
        <x:v>23</x:v>
      </x:c>
      <x:c r="I48" s="11" t="n">
        <x:v>40</x:v>
      </x:c>
      <x:c r="J48" s="12" t="n">
        <x:v>0.15</x:v>
      </x:c>
      <x:c r="K48" s="11" t="n">
        <x:f>H48*I48*(1-J48)</x:f>
        <x:v>782</x:v>
      </x:c>
      <x:c r="L48" s="11" t="n">
        <x:f>H48*(I48*0.62)</x:f>
        <x:v>570.4</x:v>
      </x:c>
      <x:c r="M48" s="11" t="n">
        <x:f>K48-L48</x:f>
        <x:v>211.60000000000002</x:v>
      </x:c>
      <x:c r="N48" s="8" t="str">
        <x:v>Partner</x:v>
      </x:c>
      <x:c r="O48" s="8" t="str">
        <x:v>PayPal</x:v>
      </x:c>
      <x:c r="P48" s="8" t="str">
        <x:v>Closed Won</x:v>
      </x:c>
    </x:row>
    <x:row r="49">
      <x:c r="A49" s="8" t="str">
        <x:v>ORD-2025048</x:v>
      </x:c>
      <x:c r="B49" s="9" t="n">
        <x:v>45712</x:v>
      </x:c>
      <x:c r="C49" s="8" t="str">
        <x:v>West</x:v>
      </x:c>
      <x:c r="D49" s="8" t="str">
        <x:v>Mia Johnson</x:v>
      </x:c>
      <x:c r="E49" s="8" t="str">
        <x:v>GreenLeaf Co</x:v>
      </x:c>
      <x:c r="F49" s="8" t="str">
        <x:v>Hardware</x:v>
      </x:c>
      <x:c r="G49" s="8" t="str">
        <x:v>Laptop X</x:v>
      </x:c>
      <x:c r="H49" s="10" t="n">
        <x:v>23</x:v>
      </x:c>
      <x:c r="I49" s="11" t="n">
        <x:v>1500</x:v>
      </x:c>
      <x:c r="J49" s="12" t="n">
        <x:v>0.1</x:v>
      </x:c>
      <x:c r="K49" s="11" t="n">
        <x:f>H49*I49*(1-J49)</x:f>
        <x:v>31050</x:v>
      </x:c>
      <x:c r="L49" s="11" t="n">
        <x:f>H49*(I49*0.62)</x:f>
        <x:v>21390</x:v>
      </x:c>
      <x:c r="M49" s="11" t="n">
        <x:f>K49-L49</x:f>
        <x:v>9660</x:v>
      </x:c>
      <x:c r="N49" s="8" t="str">
        <x:v>Partner</x:v>
      </x:c>
      <x:c r="O49" s="8" t="str">
        <x:v>Credit Card</x:v>
      </x:c>
      <x:c r="P49" s="8" t="str">
        <x:v>Shipped</x:v>
      </x:c>
    </x:row>
    <x:row r="50">
      <x:c r="A50" s="8" t="str">
        <x:v>ORD-2025049</x:v>
      </x:c>
      <x:c r="B50" s="9" t="n">
        <x:v>45726</x:v>
      </x:c>
      <x:c r="C50" s="8" t="str">
        <x:v>West</x:v>
      </x:c>
      <x:c r="D50" s="8" t="str">
        <x:v>Mason Lee</x:v>
      </x:c>
      <x:c r="E50" s="8" t="str">
        <x:v>Maple Group</x:v>
      </x:c>
      <x:c r="F50" s="8" t="str">
        <x:v>Software</x:v>
      </x:c>
      <x:c r="G50" s="8" t="str">
        <x:v>ProjectFlow</x:v>
      </x:c>
      <x:c r="H50" s="10" t="n">
        <x:v>20</x:v>
      </x:c>
      <x:c r="I50" s="11" t="n">
        <x:v>700</x:v>
      </x:c>
      <x:c r="J50" s="12" t="n">
        <x:v>0</x:v>
      </x:c>
      <x:c r="K50" s="11" t="n">
        <x:f>H50*I50*(1-J50)</x:f>
        <x:v>14000</x:v>
      </x:c>
      <x:c r="L50" s="11" t="n">
        <x:f>H50*(I50*0.62)</x:f>
        <x:v>8680</x:v>
      </x:c>
      <x:c r="M50" s="11" t="n">
        <x:f>K50-L50</x:f>
        <x:v>5320</x:v>
      </x:c>
      <x:c r="N50" s="8" t="str">
        <x:v>Partner</x:v>
      </x:c>
      <x:c r="O50" s="8" t="str">
        <x:v>PayPal</x:v>
      </x:c>
      <x:c r="P50" s="8" t="str">
        <x:v>Returned</x:v>
      </x:c>
    </x:row>
    <x:row r="51">
      <x:c r="A51" s="8" t="str">
        <x:v>ORD-2025050</x:v>
      </x:c>
      <x:c r="B51" s="9" t="n">
        <x:v>45901</x:v>
      </x:c>
      <x:c r="C51" s="8" t="str">
        <x:v>West</x:v>
      </x:c>
      <x:c r="D51" s="8" t="str">
        <x:v>Ethan Garcia</x:v>
      </x:c>
      <x:c r="E51" s="8" t="str">
        <x:v>Cedar Group</x:v>
      </x:c>
      <x:c r="F51" s="8" t="str">
        <x:v>Accessories</x:v>
      </x:c>
      <x:c r="G51" s="8" t="str">
        <x:v>Keyboard Pro</x:v>
      </x:c>
      <x:c r="H51" s="10" t="n">
        <x:v>21</x:v>
      </x:c>
      <x:c r="I51" s="11" t="n">
        <x:v>95</x:v>
      </x:c>
      <x:c r="J51" s="12" t="n">
        <x:v>0</x:v>
      </x:c>
      <x:c r="K51" s="11" t="n">
        <x:f>H51*I51*(1-J51)</x:f>
        <x:v>1995</x:v>
      </x:c>
      <x:c r="L51" s="11" t="n">
        <x:f>H51*(I51*0.62)</x:f>
        <x:v>1236.8999999999999</x:v>
      </x:c>
      <x:c r="M51" s="11" t="n">
        <x:f>K51-L51</x:f>
        <x:v>758.1000000000001</x:v>
      </x:c>
      <x:c r="N51" s="8" t="str">
        <x:v>Online</x:v>
      </x:c>
      <x:c r="O51" s="8" t="str">
        <x:v>PayPal</x:v>
      </x:c>
      <x:c r="P51" s="8" t="str">
        <x:v>Shipped</x:v>
      </x:c>
    </x:row>
    <x:row r="52">
      <x:c r="A52" s="8" t="str">
        <x:v>ORD-2025051</x:v>
      </x:c>
      <x:c r="B52" s="9" t="n">
        <x:v>45697</x:v>
      </x:c>
      <x:c r="C52" s="8" t="str">
        <x:v>East</x:v>
      </x:c>
      <x:c r="D52" s="8" t="str">
        <x:v>Mia Johnson</x:v>
      </x:c>
      <x:c r="E52" s="8" t="str">
        <x:v>Prime Co</x:v>
      </x:c>
      <x:c r="F52" s="8" t="str">
        <x:v>Services</x:v>
      </x:c>
      <x:c r="G52" s="8" t="str">
        <x:v>Consulting Day</x:v>
      </x:c>
      <x:c r="H52" s="10" t="n">
        <x:v>11</x:v>
      </x:c>
      <x:c r="I52" s="11" t="n">
        <x:v>1400</x:v>
      </x:c>
      <x:c r="J52" s="12" t="n">
        <x:v>0</x:v>
      </x:c>
      <x:c r="K52" s="11" t="n">
        <x:f>H52*I52*(1-J52)</x:f>
        <x:v>15400</x:v>
      </x:c>
      <x:c r="L52" s="11" t="n">
        <x:f>H52*(I52*0.62)</x:f>
        <x:v>9548</x:v>
      </x:c>
      <x:c r="M52" s="11" t="n">
        <x:f>K52-L52</x:f>
        <x:v>5852</x:v>
      </x:c>
      <x:c r="N52" s="8" t="str">
        <x:v>Online</x:v>
      </x:c>
      <x:c r="O52" s="8" t="str">
        <x:v>Credit Card</x:v>
      </x:c>
      <x:c r="P52" s="8" t="str">
        <x:v>Closed Won</x:v>
      </x:c>
    </x:row>
    <x:row r="53">
      <x:c r="A53" s="8" t="str">
        <x:v>ORD-2025052</x:v>
      </x:c>
      <x:c r="B53" s="9" t="n">
        <x:v>46013</x:v>
      </x:c>
      <x:c r="C53" s="8" t="str">
        <x:v>South</x:v>
      </x:c>
      <x:c r="D53" s="8" t="str">
        <x:v>Mia Johnson</x:v>
      </x:c>
      <x:c r="E53" s="8" t="str">
        <x:v>BlueSky LLC</x:v>
      </x:c>
      <x:c r="F53" s="8" t="str">
        <x:v>Hardware</x:v>
      </x:c>
      <x:c r="G53" s="8" t="str">
        <x:v>Monitor 27</x:v>
      </x:c>
      <x:c r="H53" s="10" t="n">
        <x:v>14</x:v>
      </x:c>
      <x:c r="I53" s="11" t="n">
        <x:v>320</x:v>
      </x:c>
      <x:c r="J53" s="12" t="n">
        <x:v>0.05</x:v>
      </x:c>
      <x:c r="K53" s="11" t="n">
        <x:f>H53*I53*(1-J53)</x:f>
        <x:v>4256</x:v>
      </x:c>
      <x:c r="L53" s="11" t="n">
        <x:f>H53*(I53*0.62)</x:f>
        <x:v>2777.6</x:v>
      </x:c>
      <x:c r="M53" s="11" t="n">
        <x:f>K53-L53</x:f>
        <x:v>1478.4</x:v>
      </x:c>
      <x:c r="N53" s="8" t="str">
        <x:v>Partner</x:v>
      </x:c>
      <x:c r="O53" s="8" t="str">
        <x:v>PayPal</x:v>
      </x:c>
      <x:c r="P53" s="8" t="str">
        <x:v>Closed Won</x:v>
      </x:c>
    </x:row>
    <x:row r="54">
      <x:c r="A54" s="8" t="str">
        <x:v>ORD-2025053</x:v>
      </x:c>
      <x:c r="B54" s="9" t="n">
        <x:v>45857</x:v>
      </x:c>
      <x:c r="C54" s="8" t="str">
        <x:v>Central</x:v>
      </x:c>
      <x:c r="D54" s="8" t="str">
        <x:v>Ava Patel</x:v>
      </x:c>
      <x:c r="E54" s="8" t="str">
        <x:v>Ironwood Inc</x:v>
      </x:c>
      <x:c r="F54" s="8" t="str">
        <x:v>Hardware</x:v>
      </x:c>
      <x:c r="G54" s="8" t="str">
        <x:v>Monitor 27</x:v>
      </x:c>
      <x:c r="H54" s="10" t="n">
        <x:v>13</x:v>
      </x:c>
      <x:c r="I54" s="11" t="n">
        <x:v>320</x:v>
      </x:c>
      <x:c r="J54" s="12" t="n">
        <x:v>0.05</x:v>
      </x:c>
      <x:c r="K54" s="11" t="n">
        <x:f>H54*I54*(1-J54)</x:f>
        <x:v>3952</x:v>
      </x:c>
      <x:c r="L54" s="11" t="n">
        <x:f>H54*(I54*0.62)</x:f>
        <x:v>2579.2000000000003</x:v>
      </x:c>
      <x:c r="M54" s="11" t="n">
        <x:f>K54-L54</x:f>
        <x:v>1372.7999999999997</x:v>
      </x:c>
      <x:c r="N54" s="8" t="str">
        <x:v>Direct</x:v>
      </x:c>
      <x:c r="O54" s="8" t="str">
        <x:v>Invoice</x:v>
      </x:c>
      <x:c r="P54" s="8" t="str">
        <x:v>Closed Won</x:v>
      </x:c>
    </x:row>
    <x:row r="55">
      <x:c r="A55" s="8" t="str">
        <x:v>ORD-2025054</x:v>
      </x:c>
      <x:c r="B55" s="9" t="n">
        <x:v>45933</x:v>
      </x:c>
      <x:c r="C55" s="8" t="str">
        <x:v>Central</x:v>
      </x:c>
      <x:c r="D55" s="8" t="str">
        <x:v>Emma Martin</x:v>
      </x:c>
      <x:c r="E55" s="8" t="str">
        <x:v>Cedar LLC</x:v>
      </x:c>
      <x:c r="F55" s="8" t="str">
        <x:v>Accessories</x:v>
      </x:c>
      <x:c r="G55" s="8" t="str">
        <x:v>Headset</x:v>
      </x:c>
      <x:c r="H55" s="10" t="n">
        <x:v>16</x:v>
      </x:c>
      <x:c r="I55" s="11" t="n">
        <x:v>85</x:v>
      </x:c>
      <x:c r="J55" s="12" t="n">
        <x:v>0</x:v>
      </x:c>
      <x:c r="K55" s="11" t="n">
        <x:f>H55*I55*(1-J55)</x:f>
        <x:v>1360</x:v>
      </x:c>
      <x:c r="L55" s="11" t="n">
        <x:f>H55*(I55*0.62)</x:f>
        <x:v>843.2</x:v>
      </x:c>
      <x:c r="M55" s="11" t="n">
        <x:f>K55-L55</x:f>
        <x:v>516.8</x:v>
      </x:c>
      <x:c r="N55" s="8" t="str">
        <x:v>Partner</x:v>
      </x:c>
      <x:c r="O55" s="8" t="str">
        <x:v>PayPal</x:v>
      </x:c>
      <x:c r="P55" s="8" t="str">
        <x:v>Pending</x:v>
      </x:c>
    </x:row>
    <x:row r="56">
      <x:c r="A56" s="8" t="str">
        <x:v>ORD-2025055</x:v>
      </x:c>
      <x:c r="B56" s="9" t="n">
        <x:v>46000</x:v>
      </x:c>
      <x:c r="C56" s="8" t="str">
        <x:v>West</x:v>
      </x:c>
      <x:c r="D56" s="8" t="str">
        <x:v>Noah Davis</x:v>
      </x:c>
      <x:c r="E56" s="8" t="str">
        <x:v>GoldenGate Group</x:v>
      </x:c>
      <x:c r="F56" s="8" t="str">
        <x:v>Accessories</x:v>
      </x:c>
      <x:c r="G56" s="8" t="str">
        <x:v>Webcam HD</x:v>
      </x:c>
      <x:c r="H56" s="10" t="n">
        <x:v>5</x:v>
      </x:c>
      <x:c r="I56" s="11" t="n">
        <x:v>110</x:v>
      </x:c>
      <x:c r="J56" s="12" t="n">
        <x:v>0.1</x:v>
      </x:c>
      <x:c r="K56" s="11" t="n">
        <x:f>H56*I56*(1-J56)</x:f>
        <x:v>495</x:v>
      </x:c>
      <x:c r="L56" s="11" t="n">
        <x:f>H56*(I56*0.62)</x:f>
        <x:v>341</x:v>
      </x:c>
      <x:c r="M56" s="11" t="n">
        <x:f>K56-L56</x:f>
        <x:v>154</x:v>
      </x:c>
      <x:c r="N56" s="8" t="str">
        <x:v>Online</x:v>
      </x:c>
      <x:c r="O56" s="8" t="str">
        <x:v>Credit Card</x:v>
      </x:c>
      <x:c r="P56" s="8" t="str">
        <x:v>Cancelled</x:v>
      </x:c>
    </x:row>
    <x:row r="57">
      <x:c r="A57" s="8" t="str">
        <x:v>ORD-2025056</x:v>
      </x:c>
      <x:c r="B57" s="9" t="n">
        <x:v>45987</x:v>
      </x:c>
      <x:c r="C57" s="8" t="str">
        <x:v>West</x:v>
      </x:c>
      <x:c r="D57" s="8" t="str">
        <x:v>Noah Davis</x:v>
      </x:c>
      <x:c r="E57" s="8" t="str">
        <x:v>GoldenGate Group</x:v>
      </x:c>
      <x:c r="F57" s="8" t="str">
        <x:v>Software</x:v>
      </x:c>
      <x:c r="G57" s="8" t="str">
        <x:v>CRM Pro</x:v>
      </x:c>
      <x:c r="H57" s="10" t="n">
        <x:v>6</x:v>
      </x:c>
      <x:c r="I57" s="11" t="n">
        <x:v>1200</x:v>
      </x:c>
      <x:c r="J57" s="12" t="n">
        <x:v>0</x:v>
      </x:c>
      <x:c r="K57" s="11" t="n">
        <x:f>H57*I57*(1-J57)</x:f>
        <x:v>7200</x:v>
      </x:c>
      <x:c r="L57" s="11" t="n">
        <x:f>H57*(I57*0.62)</x:f>
        <x:v>4464</x:v>
      </x:c>
      <x:c r="M57" s="11" t="n">
        <x:f>K57-L57</x:f>
        <x:v>2736</x:v>
      </x:c>
      <x:c r="N57" s="8" t="str">
        <x:v>Partner</x:v>
      </x:c>
      <x:c r="O57" s="8" t="str">
        <x:v>PayPal</x:v>
      </x:c>
      <x:c r="P57" s="8" t="str">
        <x:v>Closed Won</x:v>
      </x:c>
    </x:row>
    <x:row r="58">
      <x:c r="A58" s="8" t="str">
        <x:v>ORD-2025057</x:v>
      </x:c>
      <x:c r="B58" s="9" t="n">
        <x:v>45830</x:v>
      </x:c>
      <x:c r="C58" s="8" t="str">
        <x:v>West</x:v>
      </x:c>
      <x:c r="D58" s="8" t="str">
        <x:v>Ethan Garcia</x:v>
      </x:c>
      <x:c r="E58" s="8" t="str">
        <x:v>RedStone Inc</x:v>
      </x:c>
      <x:c r="F58" s="8" t="str">
        <x:v>Accessories</x:v>
      </x:c>
      <x:c r="G58" s="8" t="str">
        <x:v>Webcam HD</x:v>
      </x:c>
      <x:c r="H58" s="10" t="n">
        <x:v>9</x:v>
      </x:c>
      <x:c r="I58" s="11" t="n">
        <x:v>110</x:v>
      </x:c>
      <x:c r="J58" s="12" t="n">
        <x:v>0.2</x:v>
      </x:c>
      <x:c r="K58" s="11" t="n">
        <x:f>H58*I58*(1-J58)</x:f>
        <x:v>792</x:v>
      </x:c>
      <x:c r="L58" s="11" t="n">
        <x:f>H58*(I58*0.62)</x:f>
        <x:v>613.8000000000001</x:v>
      </x:c>
      <x:c r="M58" s="11" t="n">
        <x:f>K58-L58</x:f>
        <x:v>178.19999999999993</x:v>
      </x:c>
      <x:c r="N58" s="8" t="str">
        <x:v>Direct</x:v>
      </x:c>
      <x:c r="O58" s="8" t="str">
        <x:v>PayPal</x:v>
      </x:c>
      <x:c r="P58" s="8" t="str">
        <x:v>Closed Won</x:v>
      </x:c>
    </x:row>
    <x:row r="59">
      <x:c r="A59" s="8" t="str">
        <x:v>ORD-2025058</x:v>
      </x:c>
      <x:c r="B59" s="9" t="n">
        <x:v>45772</x:v>
      </x:c>
      <x:c r="C59" s="8" t="str">
        <x:v>North</x:v>
      </x:c>
      <x:c r="D59" s="8" t="str">
        <x:v>Ava Patel</x:v>
      </x:c>
      <x:c r="E59" s="8" t="str">
        <x:v>Acme Group</x:v>
      </x:c>
      <x:c r="F59" s="8" t="str">
        <x:v>Software</x:v>
      </x:c>
      <x:c r="G59" s="8" t="str">
        <x:v>HR Suite</x:v>
      </x:c>
      <x:c r="H59" s="10" t="n">
        <x:v>8</x:v>
      </x:c>
      <x:c r="I59" s="11" t="n">
        <x:v>950</x:v>
      </x:c>
      <x:c r="J59" s="12" t="n">
        <x:v>0</x:v>
      </x:c>
      <x:c r="K59" s="11" t="n">
        <x:f>H59*I59*(1-J59)</x:f>
        <x:v>7600</x:v>
      </x:c>
      <x:c r="L59" s="11" t="n">
        <x:f>H59*(I59*0.62)</x:f>
        <x:v>4712</x:v>
      </x:c>
      <x:c r="M59" s="11" t="n">
        <x:f>K59-L59</x:f>
        <x:v>2888</x:v>
      </x:c>
      <x:c r="N59" s="8" t="str">
        <x:v>Direct</x:v>
      </x:c>
      <x:c r="O59" s="8" t="str">
        <x:v>Bank Transfer</x:v>
      </x:c>
      <x:c r="P59" s="8" t="str">
        <x:v>Closed Won</x:v>
      </x:c>
    </x:row>
    <x:row r="60">
      <x:c r="A60" s="8" t="str">
        <x:v>ORD-2025059</x:v>
      </x:c>
      <x:c r="B60" s="9" t="n">
        <x:v>45946</x:v>
      </x:c>
      <x:c r="C60" s="8" t="str">
        <x:v>South</x:v>
      </x:c>
      <x:c r="D60" s="8" t="str">
        <x:v>Olivia Wilson</x:v>
      </x:c>
      <x:c r="E60" s="8" t="str">
        <x:v>Prime LLC</x:v>
      </x:c>
      <x:c r="F60" s="8" t="str">
        <x:v>Accessories</x:v>
      </x:c>
      <x:c r="G60" s="8" t="str">
        <x:v>Wireless Mouse</x:v>
      </x:c>
      <x:c r="H60" s="10" t="n">
        <x:v>25</x:v>
      </x:c>
      <x:c r="I60" s="11" t="n">
        <x:v>40</x:v>
      </x:c>
      <x:c r="J60" s="12" t="n">
        <x:v>0</x:v>
      </x:c>
      <x:c r="K60" s="11" t="n">
        <x:f>H60*I60*(1-J60)</x:f>
        <x:v>1000</x:v>
      </x:c>
      <x:c r="L60" s="11" t="n">
        <x:f>H60*(I60*0.62)</x:f>
        <x:v>620</x:v>
      </x:c>
      <x:c r="M60" s="11" t="n">
        <x:f>K60-L60</x:f>
        <x:v>380</x:v>
      </x:c>
      <x:c r="N60" s="8" t="str">
        <x:v>Direct</x:v>
      </x:c>
      <x:c r="O60" s="8" t="str">
        <x:v>Credit Card</x:v>
      </x:c>
      <x:c r="P60" s="8" t="str">
        <x:v>Shipped</x:v>
      </x:c>
    </x:row>
    <x:row r="61">
      <x:c r="A61" s="8" t="str">
        <x:v>ORD-2025060</x:v>
      </x:c>
      <x:c r="B61" s="9" t="n">
        <x:v>45713</x:v>
      </x:c>
      <x:c r="C61" s="8" t="str">
        <x:v>Central</x:v>
      </x:c>
      <x:c r="D61" s="8" t="str">
        <x:v>Ava Patel</x:v>
      </x:c>
      <x:c r="E61" s="8" t="str">
        <x:v>Vertex Group</x:v>
      </x:c>
      <x:c r="F61" s="8" t="str">
        <x:v>Hardware</x:v>
      </x:c>
      <x:c r="G61" s="8" t="str">
        <x:v>Dock Station</x:v>
      </x:c>
      <x:c r="H61" s="10" t="n">
        <x:v>19</x:v>
      </x:c>
      <x:c r="I61" s="11" t="n">
        <x:v>180</x:v>
      </x:c>
      <x:c r="J61" s="12" t="n">
        <x:v>0.15</x:v>
      </x:c>
      <x:c r="K61" s="11" t="n">
        <x:f>H61*I61*(1-J61)</x:f>
        <x:v>2907</x:v>
      </x:c>
      <x:c r="L61" s="11" t="n">
        <x:f>H61*(I61*0.62)</x:f>
        <x:v>2120.4</x:v>
      </x:c>
      <x:c r="M61" s="11" t="n">
        <x:f>K61-L61</x:f>
        <x:v>786.5999999999999</x:v>
      </x:c>
      <x:c r="N61" s="8" t="str">
        <x:v>Partner</x:v>
      </x:c>
      <x:c r="O61" s="8" t="str">
        <x:v>PayPal</x:v>
      </x:c>
      <x:c r="P61" s="8" t="str">
        <x:v>Cancelled</x:v>
      </x:c>
    </x:row>
    <x:row r="62">
      <x:c r="A62" s="8" t="str">
        <x:v>ORD-2025061</x:v>
      </x:c>
      <x:c r="B62" s="9" t="n">
        <x:v>45961</x:v>
      </x:c>
      <x:c r="C62" s="8" t="str">
        <x:v>South</x:v>
      </x:c>
      <x:c r="D62" s="8" t="str">
        <x:v>Liam Chen</x:v>
      </x:c>
      <x:c r="E62" s="8" t="str">
        <x:v>Vertex Co</x:v>
      </x:c>
      <x:c r="F62" s="8" t="str">
        <x:v>Hardware</x:v>
      </x:c>
      <x:c r="G62" s="8" t="str">
        <x:v>Laptop X</x:v>
      </x:c>
      <x:c r="H62" s="10" t="n">
        <x:v>22</x:v>
      </x:c>
      <x:c r="I62" s="11" t="n">
        <x:v>1500</x:v>
      </x:c>
      <x:c r="J62" s="12" t="n">
        <x:v>0.1</x:v>
      </x:c>
      <x:c r="K62" s="11" t="n">
        <x:f>H62*I62*(1-J62)</x:f>
        <x:v>29700</x:v>
      </x:c>
      <x:c r="L62" s="11" t="n">
        <x:f>H62*(I62*0.62)</x:f>
        <x:v>20460</x:v>
      </x:c>
      <x:c r="M62" s="11" t="n">
        <x:f>K62-L62</x:f>
        <x:v>9240</x:v>
      </x:c>
      <x:c r="N62" s="8" t="str">
        <x:v>Direct</x:v>
      </x:c>
      <x:c r="O62" s="8" t="str">
        <x:v>Credit Card</x:v>
      </x:c>
      <x:c r="P62" s="8" t="str">
        <x:v>Closed Won</x:v>
      </x:c>
    </x:row>
    <x:row r="63">
      <x:c r="A63" s="8" t="str">
        <x:v>ORD-2025062</x:v>
      </x:c>
      <x:c r="B63" s="9" t="n">
        <x:v>45693</x:v>
      </x:c>
      <x:c r="C63" s="8" t="str">
        <x:v>Central</x:v>
      </x:c>
      <x:c r="D63" s="8" t="str">
        <x:v>Sophia Kim</x:v>
      </x:c>
      <x:c r="E63" s="8" t="str">
        <x:v>Acme Inc</x:v>
      </x:c>
      <x:c r="F63" s="8" t="str">
        <x:v>Accessories</x:v>
      </x:c>
      <x:c r="G63" s="8" t="str">
        <x:v>Webcam HD</x:v>
      </x:c>
      <x:c r="H63" s="10" t="n">
        <x:v>14</x:v>
      </x:c>
      <x:c r="I63" s="11" t="n">
        <x:v>110</x:v>
      </x:c>
      <x:c r="J63" s="12" t="n">
        <x:v>0.2</x:v>
      </x:c>
      <x:c r="K63" s="11" t="n">
        <x:f>H63*I63*(1-J63)</x:f>
        <x:v>1232</x:v>
      </x:c>
      <x:c r="L63" s="11" t="n">
        <x:f>H63*(I63*0.62)</x:f>
        <x:v>954.8000000000001</x:v>
      </x:c>
      <x:c r="M63" s="11" t="n">
        <x:f>K63-L63</x:f>
        <x:v>277.19999999999993</x:v>
      </x:c>
      <x:c r="N63" s="8" t="str">
        <x:v>Partner</x:v>
      </x:c>
      <x:c r="O63" s="8" t="str">
        <x:v>Credit Card</x:v>
      </x:c>
      <x:c r="P63" s="8" t="str">
        <x:v>Closed Won</x:v>
      </x:c>
    </x:row>
    <x:row r="64">
      <x:c r="A64" s="8" t="str">
        <x:v>ORD-2025063</x:v>
      </x:c>
      <x:c r="B64" s="9" t="n">
        <x:v>46020</x:v>
      </x:c>
      <x:c r="C64" s="8" t="str">
        <x:v>South</x:v>
      </x:c>
      <x:c r="D64" s="8" t="str">
        <x:v>Lucas Brown</x:v>
      </x:c>
      <x:c r="E64" s="8" t="str">
        <x:v>GreenLeaf Co</x:v>
      </x:c>
      <x:c r="F64" s="8" t="str">
        <x:v>Services</x:v>
      </x:c>
      <x:c r="G64" s="8" t="str">
        <x:v>Consulting Day</x:v>
      </x:c>
      <x:c r="H64" s="10" t="n">
        <x:v>24</x:v>
      </x:c>
      <x:c r="I64" s="11" t="n">
        <x:v>1400</x:v>
      </x:c>
      <x:c r="J64" s="12" t="n">
        <x:v>0.1</x:v>
      </x:c>
      <x:c r="K64" s="11" t="n">
        <x:f>H64*I64*(1-J64)</x:f>
        <x:v>30240</x:v>
      </x:c>
      <x:c r="L64" s="11" t="n">
        <x:f>H64*(I64*0.62)</x:f>
        <x:v>20832</x:v>
      </x:c>
      <x:c r="M64" s="11" t="n">
        <x:f>K64-L64</x:f>
        <x:v>9408</x:v>
      </x:c>
      <x:c r="N64" s="8" t="str">
        <x:v>Online</x:v>
      </x:c>
      <x:c r="O64" s="8" t="str">
        <x:v>Invoice</x:v>
      </x:c>
      <x:c r="P64" s="8" t="str">
        <x:v>Shipped</x:v>
      </x:c>
    </x:row>
    <x:row r="65">
      <x:c r="A65" s="8" t="str">
        <x:v>ORD-2025064</x:v>
      </x:c>
      <x:c r="B65" s="9" t="n">
        <x:v>45881</x:v>
      </x:c>
      <x:c r="C65" s="8" t="str">
        <x:v>Central</x:v>
      </x:c>
      <x:c r="D65" s="8" t="str">
        <x:v>Ethan Garcia</x:v>
      </x:c>
      <x:c r="E65" s="8" t="str">
        <x:v>BrightPath Inc</x:v>
      </x:c>
      <x:c r="F65" s="8" t="str">
        <x:v>Accessories</x:v>
      </x:c>
      <x:c r="G65" s="8" t="str">
        <x:v>Headset</x:v>
      </x:c>
      <x:c r="H65" s="10" t="n">
        <x:v>8</x:v>
      </x:c>
      <x:c r="I65" s="11" t="n">
        <x:v>85</x:v>
      </x:c>
      <x:c r="J65" s="12" t="n">
        <x:v>0.2</x:v>
      </x:c>
      <x:c r="K65" s="11" t="n">
        <x:f>H65*I65*(1-J65)</x:f>
        <x:v>544</x:v>
      </x:c>
      <x:c r="L65" s="11" t="n">
        <x:f>H65*(I65*0.62)</x:f>
        <x:v>421.6</x:v>
      </x:c>
      <x:c r="M65" s="11" t="n">
        <x:f>K65-L65</x:f>
        <x:v>122.39999999999998</x:v>
      </x:c>
      <x:c r="N65" s="8" t="str">
        <x:v>Direct</x:v>
      </x:c>
      <x:c r="O65" s="8" t="str">
        <x:v>Invoice</x:v>
      </x:c>
      <x:c r="P65" s="8" t="str">
        <x:v>Cancelled</x:v>
      </x:c>
    </x:row>
    <x:row r="66">
      <x:c r="A66" s="8" t="str">
        <x:v>ORD-2025065</x:v>
      </x:c>
      <x:c r="B66" s="9" t="n">
        <x:v>45949</x:v>
      </x:c>
      <x:c r="C66" s="8" t="str">
        <x:v>Central</x:v>
      </x:c>
      <x:c r="D66" s="8" t="str">
        <x:v>Lucas Brown</x:v>
      </x:c>
      <x:c r="E66" s="8" t="str">
        <x:v>BrightPath Group</x:v>
      </x:c>
      <x:c r="F66" s="8" t="str">
        <x:v>Hardware</x:v>
      </x:c>
      <x:c r="G66" s="8" t="str">
        <x:v>Monitor 27</x:v>
      </x:c>
      <x:c r="H66" s="10" t="n">
        <x:v>1</x:v>
      </x:c>
      <x:c r="I66" s="11" t="n">
        <x:v>320</x:v>
      </x:c>
      <x:c r="J66" s="12" t="n">
        <x:v>0.05</x:v>
      </x:c>
      <x:c r="K66" s="11" t="n">
        <x:f>H66*I66*(1-J66)</x:f>
        <x:v>304</x:v>
      </x:c>
      <x:c r="L66" s="11" t="n">
        <x:f>H66*(I66*0.62)</x:f>
        <x:v>198.4</x:v>
      </x:c>
      <x:c r="M66" s="11" t="n">
        <x:f>K66-L66</x:f>
        <x:v>105.6</x:v>
      </x:c>
      <x:c r="N66" s="8" t="str">
        <x:v>Partner</x:v>
      </x:c>
      <x:c r="O66" s="8" t="str">
        <x:v>Bank Transfer</x:v>
      </x:c>
      <x:c r="P66" s="8" t="str">
        <x:v>Pending</x:v>
      </x:c>
    </x:row>
    <x:row r="67">
      <x:c r="A67" s="8" t="str">
        <x:v>ORD-2025066</x:v>
      </x:c>
      <x:c r="B67" s="9" t="n">
        <x:v>45832</x:v>
      </x:c>
      <x:c r="C67" s="8" t="str">
        <x:v>East</x:v>
      </x:c>
      <x:c r="D67" s="8" t="str">
        <x:v>Emma Martin</x:v>
      </x:c>
      <x:c r="E67" s="8" t="str">
        <x:v>Prime Group</x:v>
      </x:c>
      <x:c r="F67" s="8" t="str">
        <x:v>Services</x:v>
      </x:c>
      <x:c r="G67" s="8" t="str">
        <x:v>Support Plus</x:v>
      </x:c>
      <x:c r="H67" s="10" t="n">
        <x:v>18</x:v>
      </x:c>
      <x:c r="I67" s="11" t="n">
        <x:v>650</x:v>
      </x:c>
      <x:c r="J67" s="12" t="n">
        <x:v>0</x:v>
      </x:c>
      <x:c r="K67" s="11" t="n">
        <x:f>H67*I67*(1-J67)</x:f>
        <x:v>11700</x:v>
      </x:c>
      <x:c r="L67" s="11" t="n">
        <x:f>H67*(I67*0.62)</x:f>
        <x:v>7254</x:v>
      </x:c>
      <x:c r="M67" s="11" t="n">
        <x:f>K67-L67</x:f>
        <x:v>4446</x:v>
      </x:c>
      <x:c r="N67" s="8" t="str">
        <x:v>Online</x:v>
      </x:c>
      <x:c r="O67" s="8" t="str">
        <x:v>Bank Transfer</x:v>
      </x:c>
      <x:c r="P67" s="8" t="str">
        <x:v>Closed Won</x:v>
      </x:c>
    </x:row>
    <x:row r="68">
      <x:c r="A68" s="8" t="str">
        <x:v>ORD-2025067</x:v>
      </x:c>
      <x:c r="B68" s="9" t="n">
        <x:v>45942</x:v>
      </x:c>
      <x:c r="C68" s="8" t="str">
        <x:v>South</x:v>
      </x:c>
      <x:c r="D68" s="8" t="str">
        <x:v>Olivia Wilson</x:v>
      </x:c>
      <x:c r="E68" s="8" t="str">
        <x:v>NorthStar Co</x:v>
      </x:c>
      <x:c r="F68" s="8" t="str">
        <x:v>Accessories</x:v>
      </x:c>
      <x:c r="G68" s="8" t="str">
        <x:v>Headset</x:v>
      </x:c>
      <x:c r="H68" s="10" t="n">
        <x:v>15</x:v>
      </x:c>
      <x:c r="I68" s="11" t="n">
        <x:v>85</x:v>
      </x:c>
      <x:c r="J68" s="12" t="n">
        <x:v>0.2</x:v>
      </x:c>
      <x:c r="K68" s="11" t="n">
        <x:f>H68*I68*(1-J68)</x:f>
        <x:v>1020</x:v>
      </x:c>
      <x:c r="L68" s="11" t="n">
        <x:f>H68*(I68*0.62)</x:f>
        <x:v>790.5</x:v>
      </x:c>
      <x:c r="M68" s="11" t="n">
        <x:f>K68-L68</x:f>
        <x:v>229.5</x:v>
      </x:c>
      <x:c r="N68" s="8" t="str">
        <x:v>Direct</x:v>
      </x:c>
      <x:c r="O68" s="8" t="str">
        <x:v>Credit Card</x:v>
      </x:c>
      <x:c r="P68" s="8" t="str">
        <x:v>Closed Won</x:v>
      </x:c>
    </x:row>
    <x:row r="69">
      <x:c r="A69" s="8" t="str">
        <x:v>ORD-2025068</x:v>
      </x:c>
      <x:c r="B69" s="9" t="n">
        <x:v>45814</x:v>
      </x:c>
      <x:c r="C69" s="8" t="str">
        <x:v>Central</x:v>
      </x:c>
      <x:c r="D69" s="8" t="str">
        <x:v>Sophia Kim</x:v>
      </x:c>
      <x:c r="E69" s="8" t="str">
        <x:v>NorthStar LLC</x:v>
      </x:c>
      <x:c r="F69" s="8" t="str">
        <x:v>Accessories</x:v>
      </x:c>
      <x:c r="G69" s="8" t="str">
        <x:v>Keyboard Pro</x:v>
      </x:c>
      <x:c r="H69" s="10" t="n">
        <x:v>18</x:v>
      </x:c>
      <x:c r="I69" s="11" t="n">
        <x:v>95</x:v>
      </x:c>
      <x:c r="J69" s="12" t="n">
        <x:v>0.1</x:v>
      </x:c>
      <x:c r="K69" s="11" t="n">
        <x:f>H69*I69*(1-J69)</x:f>
        <x:v>1539</x:v>
      </x:c>
      <x:c r="L69" s="11" t="n">
        <x:f>H69*(I69*0.62)</x:f>
        <x:v>1060.2</x:v>
      </x:c>
      <x:c r="M69" s="11" t="n">
        <x:f>K69-L69</x:f>
        <x:v>478.79999999999995</x:v>
      </x:c>
      <x:c r="N69" s="8" t="str">
        <x:v>Partner</x:v>
      </x:c>
      <x:c r="O69" s="8" t="str">
        <x:v>PayPal</x:v>
      </x:c>
      <x:c r="P69" s="8" t="str">
        <x:v>Cancelled</x:v>
      </x:c>
    </x:row>
    <x:row r="70">
      <x:c r="A70" s="8" t="str">
        <x:v>ORD-2025069</x:v>
      </x:c>
      <x:c r="B70" s="9" t="n">
        <x:v>46017</x:v>
      </x:c>
      <x:c r="C70" s="8" t="str">
        <x:v>West</x:v>
      </x:c>
      <x:c r="D70" s="8" t="str">
        <x:v>Ethan Garcia</x:v>
      </x:c>
      <x:c r="E70" s="8" t="str">
        <x:v>Vertex Group</x:v>
      </x:c>
      <x:c r="F70" s="8" t="str">
        <x:v>Services</x:v>
      </x:c>
      <x:c r="G70" s="8" t="str">
        <x:v>Support Plus</x:v>
      </x:c>
      <x:c r="H70" s="10" t="n">
        <x:v>9</x:v>
      </x:c>
      <x:c r="I70" s="11" t="n">
        <x:v>650</x:v>
      </x:c>
      <x:c r="J70" s="12" t="n">
        <x:v>0</x:v>
      </x:c>
      <x:c r="K70" s="11" t="n">
        <x:f>H70*I70*(1-J70)</x:f>
        <x:v>5850</x:v>
      </x:c>
      <x:c r="L70" s="11" t="n">
        <x:f>H70*(I70*0.62)</x:f>
        <x:v>3627</x:v>
      </x:c>
      <x:c r="M70" s="11" t="n">
        <x:f>K70-L70</x:f>
        <x:v>2223</x:v>
      </x:c>
      <x:c r="N70" s="8" t="str">
        <x:v>Direct</x:v>
      </x:c>
      <x:c r="O70" s="8" t="str">
        <x:v>Bank Transfer</x:v>
      </x:c>
      <x:c r="P70" s="8" t="str">
        <x:v>Closed Won</x:v>
      </x:c>
    </x:row>
    <x:row r="71">
      <x:c r="A71" s="8" t="str">
        <x:v>ORD-2025070</x:v>
      </x:c>
      <x:c r="B71" s="9" t="n">
        <x:v>45768</x:v>
      </x:c>
      <x:c r="C71" s="8" t="str">
        <x:v>West</x:v>
      </x:c>
      <x:c r="D71" s="8" t="str">
        <x:v>Ethan Garcia</x:v>
      </x:c>
      <x:c r="E71" s="8" t="str">
        <x:v>Ironwood Group</x:v>
      </x:c>
      <x:c r="F71" s="8" t="str">
        <x:v>Hardware</x:v>
      </x:c>
      <x:c r="G71" s="8" t="str">
        <x:v>Tablet Air</x:v>
      </x:c>
      <x:c r="H71" s="10" t="n">
        <x:v>25</x:v>
      </x:c>
      <x:c r="I71" s="11" t="n">
        <x:v>820</x:v>
      </x:c>
      <x:c r="J71" s="12" t="n">
        <x:v>0.1</x:v>
      </x:c>
      <x:c r="K71" s="11" t="n">
        <x:f>H71*I71*(1-J71)</x:f>
        <x:v>18450</x:v>
      </x:c>
      <x:c r="L71" s="11" t="n">
        <x:f>H71*(I71*0.62)</x:f>
        <x:v>12710</x:v>
      </x:c>
      <x:c r="M71" s="11" t="n">
        <x:f>K71-L71</x:f>
        <x:v>5740</x:v>
      </x:c>
      <x:c r="N71" s="8" t="str">
        <x:v>Online</x:v>
      </x:c>
      <x:c r="O71" s="8" t="str">
        <x:v>Invoice</x:v>
      </x:c>
      <x:c r="P71" s="8" t="str">
        <x:v>Cancelled</x:v>
      </x:c>
    </x:row>
    <x:row r="72">
      <x:c r="A72" s="8" t="str">
        <x:v>ORD-2025071</x:v>
      </x:c>
      <x:c r="B72" s="9" t="n">
        <x:v>45774</x:v>
      </x:c>
      <x:c r="C72" s="8" t="str">
        <x:v>East</x:v>
      </x:c>
      <x:c r="D72" s="8" t="str">
        <x:v>Noah Davis</x:v>
      </x:c>
      <x:c r="E72" s="8" t="str">
        <x:v>Vertex Co</x:v>
      </x:c>
      <x:c r="F72" s="8" t="str">
        <x:v>Hardware</x:v>
      </x:c>
      <x:c r="G72" s="8" t="str">
        <x:v>Dock Station</x:v>
      </x:c>
      <x:c r="H72" s="10" t="n">
        <x:v>1</x:v>
      </x:c>
      <x:c r="I72" s="11" t="n">
        <x:v>180</x:v>
      </x:c>
      <x:c r="J72" s="12" t="n">
        <x:v>0.15</x:v>
      </x:c>
      <x:c r="K72" s="11" t="n">
        <x:f>H72*I72*(1-J72)</x:f>
        <x:v>153</x:v>
      </x:c>
      <x:c r="L72" s="11" t="n">
        <x:f>H72*(I72*0.62)</x:f>
        <x:v>111.6</x:v>
      </x:c>
      <x:c r="M72" s="11" t="n">
        <x:f>K72-L72</x:f>
        <x:v>41.400000000000006</x:v>
      </x:c>
      <x:c r="N72" s="8" t="str">
        <x:v>Online</x:v>
      </x:c>
      <x:c r="O72" s="8" t="str">
        <x:v>Bank Transfer</x:v>
      </x:c>
      <x:c r="P72" s="8" t="str">
        <x:v>Closed Won</x:v>
      </x:c>
    </x:row>
    <x:row r="73">
      <x:c r="A73" s="8" t="str">
        <x:v>ORD-2025072</x:v>
      </x:c>
      <x:c r="B73" s="9" t="n">
        <x:v>46015</x:v>
      </x:c>
      <x:c r="C73" s="8" t="str">
        <x:v>South</x:v>
      </x:c>
      <x:c r="D73" s="8" t="str">
        <x:v>Olivia Wilson</x:v>
      </x:c>
      <x:c r="E73" s="8" t="str">
        <x:v>Pioneer Inc</x:v>
      </x:c>
      <x:c r="F73" s="8" t="str">
        <x:v>Software</x:v>
      </x:c>
      <x:c r="G73" s="8" t="str">
        <x:v>HR Suite</x:v>
      </x:c>
      <x:c r="H73" s="10" t="n">
        <x:v>1</x:v>
      </x:c>
      <x:c r="I73" s="11" t="n">
        <x:v>950</x:v>
      </x:c>
      <x:c r="J73" s="12" t="n">
        <x:v>0.1</x:v>
      </x:c>
      <x:c r="K73" s="11" t="n">
        <x:f>H73*I73*(1-J73)</x:f>
        <x:v>855</x:v>
      </x:c>
      <x:c r="L73" s="11" t="n">
        <x:f>H73*(I73*0.62)</x:f>
        <x:v>589</x:v>
      </x:c>
      <x:c r="M73" s="11" t="n">
        <x:f>K73-L73</x:f>
        <x:v>266</x:v>
      </x:c>
      <x:c r="N73" s="8" t="str">
        <x:v>Partner</x:v>
      </x:c>
      <x:c r="O73" s="8" t="str">
        <x:v>PayPal</x:v>
      </x:c>
      <x:c r="P73" s="8" t="str">
        <x:v>Pending</x:v>
      </x:c>
    </x:row>
    <x:row r="74">
      <x:c r="A74" s="8" t="str">
        <x:v>ORD-2025073</x:v>
      </x:c>
      <x:c r="B74" s="9" t="n">
        <x:v>45684</x:v>
      </x:c>
      <x:c r="C74" s="8" t="str">
        <x:v>East</x:v>
      </x:c>
      <x:c r="D74" s="8" t="str">
        <x:v>Olivia Wilson</x:v>
      </x:c>
      <x:c r="E74" s="8" t="str">
        <x:v>Pioneer Co</x:v>
      </x:c>
      <x:c r="F74" s="8" t="str">
        <x:v>Services</x:v>
      </x:c>
      <x:c r="G74" s="8" t="str">
        <x:v>Training</x:v>
      </x:c>
      <x:c r="H74" s="10" t="n">
        <x:v>3</x:v>
      </x:c>
      <x:c r="I74" s="11" t="n">
        <x:v>900</x:v>
      </x:c>
      <x:c r="J74" s="12" t="n">
        <x:v>0.05</x:v>
      </x:c>
      <x:c r="K74" s="11" t="n">
        <x:f>H74*I74*(1-J74)</x:f>
        <x:v>2565</x:v>
      </x:c>
      <x:c r="L74" s="11" t="n">
        <x:f>H74*(I74*0.62)</x:f>
        <x:v>1674</x:v>
      </x:c>
      <x:c r="M74" s="11" t="n">
        <x:f>K74-L74</x:f>
        <x:v>891</x:v>
      </x:c>
      <x:c r="N74" s="8" t="str">
        <x:v>Partner</x:v>
      </x:c>
      <x:c r="O74" s="8" t="str">
        <x:v>Credit Card</x:v>
      </x:c>
      <x:c r="P74" s="8" t="str">
        <x:v>Shipped</x:v>
      </x:c>
    </x:row>
    <x:row r="75">
      <x:c r="A75" s="8" t="str">
        <x:v>ORD-2025074</x:v>
      </x:c>
      <x:c r="B75" s="9" t="n">
        <x:v>45734</x:v>
      </x:c>
      <x:c r="C75" s="8" t="str">
        <x:v>Central</x:v>
      </x:c>
      <x:c r="D75" s="8" t="str">
        <x:v>Ethan Garcia</x:v>
      </x:c>
      <x:c r="E75" s="8" t="str">
        <x:v>BlueSky Co</x:v>
      </x:c>
      <x:c r="F75" s="8" t="str">
        <x:v>Software</x:v>
      </x:c>
      <x:c r="G75" s="8" t="str">
        <x:v>Analytics Cloud</x:v>
      </x:c>
      <x:c r="H75" s="10" t="n">
        <x:v>8</x:v>
      </x:c>
      <x:c r="I75" s="11" t="n">
        <x:v>1800</x:v>
      </x:c>
      <x:c r="J75" s="12" t="n">
        <x:v>0</x:v>
      </x:c>
      <x:c r="K75" s="11" t="n">
        <x:f>H75*I75*(1-J75)</x:f>
        <x:v>14400</x:v>
      </x:c>
      <x:c r="L75" s="11" t="n">
        <x:f>H75*(I75*0.62)</x:f>
        <x:v>8928</x:v>
      </x:c>
      <x:c r="M75" s="11" t="n">
        <x:f>K75-L75</x:f>
        <x:v>5472</x:v>
      </x:c>
      <x:c r="N75" s="8" t="str">
        <x:v>Online</x:v>
      </x:c>
      <x:c r="O75" s="8" t="str">
        <x:v>PayPal</x:v>
      </x:c>
      <x:c r="P75" s="8" t="str">
        <x:v>Shipped</x:v>
      </x:c>
    </x:row>
    <x:row r="76">
      <x:c r="A76" s="8" t="str">
        <x:v>ORD-2025075</x:v>
      </x:c>
      <x:c r="B76" s="9" t="n">
        <x:v>45888</x:v>
      </x:c>
      <x:c r="C76" s="8" t="str">
        <x:v>West</x:v>
      </x:c>
      <x:c r="D76" s="8" t="str">
        <x:v>Ethan Garcia</x:v>
      </x:c>
      <x:c r="E76" s="8" t="str">
        <x:v>Ironwood Group</x:v>
      </x:c>
      <x:c r="F76" s="8" t="str">
        <x:v>Hardware</x:v>
      </x:c>
      <x:c r="G76" s="8" t="str">
        <x:v>Monitor 27</x:v>
      </x:c>
      <x:c r="H76" s="10" t="n">
        <x:v>14</x:v>
      </x:c>
      <x:c r="I76" s="11" t="n">
        <x:v>320</x:v>
      </x:c>
      <x:c r="J76" s="12" t="n">
        <x:v>0</x:v>
      </x:c>
      <x:c r="K76" s="11" t="n">
        <x:f>H76*I76*(1-J76)</x:f>
        <x:v>4480</x:v>
      </x:c>
      <x:c r="L76" s="11" t="n">
        <x:f>H76*(I76*0.62)</x:f>
        <x:v>2777.6</x:v>
      </x:c>
      <x:c r="M76" s="11" t="n">
        <x:f>K76-L76</x:f>
        <x:v>1702.4</x:v>
      </x:c>
      <x:c r="N76" s="8" t="str">
        <x:v>Online</x:v>
      </x:c>
      <x:c r="O76" s="8" t="str">
        <x:v>Credit Card</x:v>
      </x:c>
      <x:c r="P76" s="8" t="str">
        <x:v>Shipped</x:v>
      </x:c>
    </x:row>
    <x:row r="77">
      <x:c r="A77" s="8" t="str">
        <x:v>ORD-2025076</x:v>
      </x:c>
      <x:c r="B77" s="9" t="n">
        <x:v>45978</x:v>
      </x:c>
      <x:c r="C77" s="8" t="str">
        <x:v>South</x:v>
      </x:c>
      <x:c r="D77" s="8" t="str">
        <x:v>Ethan Garcia</x:v>
      </x:c>
      <x:c r="E77" s="8" t="str">
        <x:v>BlueSky Co</x:v>
      </x:c>
      <x:c r="F77" s="8" t="str">
        <x:v>Software</x:v>
      </x:c>
      <x:c r="G77" s="8" t="str">
        <x:v>Analytics Cloud</x:v>
      </x:c>
      <x:c r="H77" s="10" t="n">
        <x:v>6</x:v>
      </x:c>
      <x:c r="I77" s="11" t="n">
        <x:v>1800</x:v>
      </x:c>
      <x:c r="J77" s="12" t="n">
        <x:v>0</x:v>
      </x:c>
      <x:c r="K77" s="11" t="n">
        <x:f>H77*I77*(1-J77)</x:f>
        <x:v>10800</x:v>
      </x:c>
      <x:c r="L77" s="11" t="n">
        <x:f>H77*(I77*0.62)</x:f>
        <x:v>6696</x:v>
      </x:c>
      <x:c r="M77" s="11" t="n">
        <x:f>K77-L77</x:f>
        <x:v>4104</x:v>
      </x:c>
      <x:c r="N77" s="8" t="str">
        <x:v>Direct</x:v>
      </x:c>
      <x:c r="O77" s="8" t="str">
        <x:v>Credit Card</x:v>
      </x:c>
      <x:c r="P77" s="8" t="str">
        <x:v>Closed Won</x:v>
      </x:c>
    </x:row>
    <x:row r="78">
      <x:c r="A78" s="8" t="str">
        <x:v>ORD-2025077</x:v>
      </x:c>
      <x:c r="B78" s="9" t="n">
        <x:v>46010</x:v>
      </x:c>
      <x:c r="C78" s="8" t="str">
        <x:v>Central</x:v>
      </x:c>
      <x:c r="D78" s="8" t="str">
        <x:v>Olivia Wilson</x:v>
      </x:c>
      <x:c r="E78" s="8" t="str">
        <x:v>Vertex Inc</x:v>
      </x:c>
      <x:c r="F78" s="8" t="str">
        <x:v>Accessories</x:v>
      </x:c>
      <x:c r="G78" s="8" t="str">
        <x:v>Headset</x:v>
      </x:c>
      <x:c r="H78" s="10" t="n">
        <x:v>2</x:v>
      </x:c>
      <x:c r="I78" s="11" t="n">
        <x:v>85</x:v>
      </x:c>
      <x:c r="J78" s="12" t="n">
        <x:v>0</x:v>
      </x:c>
      <x:c r="K78" s="11" t="n">
        <x:f>H78*I78*(1-J78)</x:f>
        <x:v>170</x:v>
      </x:c>
      <x:c r="L78" s="11" t="n">
        <x:f>H78*(I78*0.62)</x:f>
        <x:v>105.4</x:v>
      </x:c>
      <x:c r="M78" s="11" t="n">
        <x:f>K78-L78</x:f>
        <x:v>64.6</x:v>
      </x:c>
      <x:c r="N78" s="8" t="str">
        <x:v>Partner</x:v>
      </x:c>
      <x:c r="O78" s="8" t="str">
        <x:v>Invoice</x:v>
      </x:c>
      <x:c r="P78" s="8" t="str">
        <x:v>Shipped</x:v>
      </x:c>
    </x:row>
    <x:row r="79">
      <x:c r="A79" s="8" t="str">
        <x:v>ORD-2025078</x:v>
      </x:c>
      <x:c r="B79" s="9" t="n">
        <x:v>46009</x:v>
      </x:c>
      <x:c r="C79" s="8" t="str">
        <x:v>South</x:v>
      </x:c>
      <x:c r="D79" s="8" t="str">
        <x:v>Ethan Garcia</x:v>
      </x:c>
      <x:c r="E79" s="8" t="str">
        <x:v>Ironwood Group</x:v>
      </x:c>
      <x:c r="F79" s="8" t="str">
        <x:v>Accessories</x:v>
      </x:c>
      <x:c r="G79" s="8" t="str">
        <x:v>Wireless Mouse</x:v>
      </x:c>
      <x:c r="H79" s="10" t="n">
        <x:v>22</x:v>
      </x:c>
      <x:c r="I79" s="11" t="n">
        <x:v>40</x:v>
      </x:c>
      <x:c r="J79" s="12" t="n">
        <x:v>0.2</x:v>
      </x:c>
      <x:c r="K79" s="11" t="n">
        <x:f>H79*I79*(1-J79)</x:f>
        <x:v>704</x:v>
      </x:c>
      <x:c r="L79" s="11" t="n">
        <x:f>H79*(I79*0.62)</x:f>
        <x:v>545.6</x:v>
      </x:c>
      <x:c r="M79" s="11" t="n">
        <x:f>K79-L79</x:f>
        <x:v>158.39999999999998</x:v>
      </x:c>
      <x:c r="N79" s="8" t="str">
        <x:v>Direct</x:v>
      </x:c>
      <x:c r="O79" s="8" t="str">
        <x:v>PayPal</x:v>
      </x:c>
      <x:c r="P79" s="8" t="str">
        <x:v>Closed Won</x:v>
      </x:c>
    </x:row>
    <x:row r="80">
      <x:c r="A80" s="8" t="str">
        <x:v>ORD-2025079</x:v>
      </x:c>
      <x:c r="B80" s="9" t="n">
        <x:v>45794</x:v>
      </x:c>
      <x:c r="C80" s="8" t="str">
        <x:v>South</x:v>
      </x:c>
      <x:c r="D80" s="8" t="str">
        <x:v>Liam Chen</x:v>
      </x:c>
      <x:c r="E80" s="8" t="str">
        <x:v>Summit Group</x:v>
      </x:c>
      <x:c r="F80" s="8" t="str">
        <x:v>Hardware</x:v>
      </x:c>
      <x:c r="G80" s="8" t="str">
        <x:v>Tablet Air</x:v>
      </x:c>
      <x:c r="H80" s="10" t="n">
        <x:v>6</x:v>
      </x:c>
      <x:c r="I80" s="11" t="n">
        <x:v>820</x:v>
      </x:c>
      <x:c r="J80" s="12" t="n">
        <x:v>0.2</x:v>
      </x:c>
      <x:c r="K80" s="11" t="n">
        <x:f>H80*I80*(1-J80)</x:f>
        <x:v>3936</x:v>
      </x:c>
      <x:c r="L80" s="11" t="n">
        <x:f>H80*(I80*0.62)</x:f>
        <x:v>3050.3999999999996</x:v>
      </x:c>
      <x:c r="M80" s="11" t="n">
        <x:f>K80-L80</x:f>
        <x:v>885.6000000000004</x:v>
      </x:c>
      <x:c r="N80" s="8" t="str">
        <x:v>Partner</x:v>
      </x:c>
      <x:c r="O80" s="8" t="str">
        <x:v>Invoice</x:v>
      </x:c>
      <x:c r="P80" s="8" t="str">
        <x:v>Closed Won</x:v>
      </x:c>
    </x:row>
    <x:row r="81">
      <x:c r="A81" s="8" t="str">
        <x:v>ORD-2025080</x:v>
      </x:c>
      <x:c r="B81" s="9" t="n">
        <x:v>46016</x:v>
      </x:c>
      <x:c r="C81" s="8" t="str">
        <x:v>West</x:v>
      </x:c>
      <x:c r="D81" s="8" t="str">
        <x:v>Ethan Garcia</x:v>
      </x:c>
      <x:c r="E81" s="8" t="str">
        <x:v>Southridge LLC</x:v>
      </x:c>
      <x:c r="F81" s="8" t="str">
        <x:v>Accessories</x:v>
      </x:c>
      <x:c r="G81" s="8" t="str">
        <x:v>Webcam HD</x:v>
      </x:c>
      <x:c r="H81" s="10" t="n">
        <x:v>18</x:v>
      </x:c>
      <x:c r="I81" s="11" t="n">
        <x:v>110</x:v>
      </x:c>
      <x:c r="J81" s="12" t="n">
        <x:v>0.05</x:v>
      </x:c>
      <x:c r="K81" s="11" t="n">
        <x:f>H81*I81*(1-J81)</x:f>
        <x:v>1881</x:v>
      </x:c>
      <x:c r="L81" s="11" t="n">
        <x:f>H81*(I81*0.62)</x:f>
        <x:v>1227.6000000000001</x:v>
      </x:c>
      <x:c r="M81" s="11" t="n">
        <x:f>K81-L81</x:f>
        <x:v>653.3999999999999</x:v>
      </x:c>
      <x:c r="N81" s="8" t="str">
        <x:v>Partner</x:v>
      </x:c>
      <x:c r="O81" s="8" t="str">
        <x:v>Credit Card</x:v>
      </x:c>
      <x:c r="P81" s="8" t="str">
        <x:v>Shipped</x:v>
      </x:c>
    </x:row>
    <x:row r="82">
      <x:c r="A82" s="8" t="str">
        <x:v>ORD-2025081</x:v>
      </x:c>
      <x:c r="B82" s="9" t="n">
        <x:v>45967</x:v>
      </x:c>
      <x:c r="C82" s="8" t="str">
        <x:v>East</x:v>
      </x:c>
      <x:c r="D82" s="8" t="str">
        <x:v>Ava Patel</x:v>
      </x:c>
      <x:c r="E82" s="8" t="str">
        <x:v>BlueSky Group</x:v>
      </x:c>
      <x:c r="F82" s="8" t="str">
        <x:v>Accessories</x:v>
      </x:c>
      <x:c r="G82" s="8" t="str">
        <x:v>Webcam HD</x:v>
      </x:c>
      <x:c r="H82" s="10" t="n">
        <x:v>8</x:v>
      </x:c>
      <x:c r="I82" s="11" t="n">
        <x:v>110</x:v>
      </x:c>
      <x:c r="J82" s="12" t="n">
        <x:v>0.15</x:v>
      </x:c>
      <x:c r="K82" s="11" t="n">
        <x:f>H82*I82*(1-J82)</x:f>
        <x:v>748</x:v>
      </x:c>
      <x:c r="L82" s="11" t="n">
        <x:f>H82*(I82*0.62)</x:f>
        <x:v>545.6</x:v>
      </x:c>
      <x:c r="M82" s="11" t="n">
        <x:f>K82-L82</x:f>
        <x:v>202.39999999999998</x:v>
      </x:c>
      <x:c r="N82" s="8" t="str">
        <x:v>Online</x:v>
      </x:c>
      <x:c r="O82" s="8" t="str">
        <x:v>Credit Card</x:v>
      </x:c>
      <x:c r="P82" s="8" t="str">
        <x:v>Cancelled</x:v>
      </x:c>
    </x:row>
    <x:row r="83">
      <x:c r="A83" s="8" t="str">
        <x:v>ORD-2025082</x:v>
      </x:c>
      <x:c r="B83" s="9" t="n">
        <x:v>45747</x:v>
      </x:c>
      <x:c r="C83" s="8" t="str">
        <x:v>West</x:v>
      </x:c>
      <x:c r="D83" s="8" t="str">
        <x:v>Mason Lee</x:v>
      </x:c>
      <x:c r="E83" s="8" t="str">
        <x:v>GoldenGate LLC</x:v>
      </x:c>
      <x:c r="F83" s="8" t="str">
        <x:v>Services</x:v>
      </x:c>
      <x:c r="G83" s="8" t="str">
        <x:v>Implementation</x:v>
      </x:c>
      <x:c r="H83" s="10" t="n">
        <x:v>9</x:v>
      </x:c>
      <x:c r="I83" s="11" t="n">
        <x:v>2500</x:v>
      </x:c>
      <x:c r="J83" s="12" t="n">
        <x:v>0</x:v>
      </x:c>
      <x:c r="K83" s="11" t="n">
        <x:f>H83*I83*(1-J83)</x:f>
        <x:v>22500</x:v>
      </x:c>
      <x:c r="L83" s="11" t="n">
        <x:f>H83*(I83*0.62)</x:f>
        <x:v>13950</x:v>
      </x:c>
      <x:c r="M83" s="11" t="n">
        <x:f>K83-L83</x:f>
        <x:v>8550</x:v>
      </x:c>
      <x:c r="N83" s="8" t="str">
        <x:v>Online</x:v>
      </x:c>
      <x:c r="O83" s="8" t="str">
        <x:v>PayPal</x:v>
      </x:c>
      <x:c r="P83" s="8" t="str">
        <x:v>Shipped</x:v>
      </x:c>
    </x:row>
    <x:row r="84">
      <x:c r="A84" s="8" t="str">
        <x:v>ORD-2025083</x:v>
      </x:c>
      <x:c r="B84" s="9" t="n">
        <x:v>45898</x:v>
      </x:c>
      <x:c r="C84" s="8" t="str">
        <x:v>East</x:v>
      </x:c>
      <x:c r="D84" s="8" t="str">
        <x:v>Lucas Brown</x:v>
      </x:c>
      <x:c r="E84" s="8" t="str">
        <x:v>BrightPath Co</x:v>
      </x:c>
      <x:c r="F84" s="8" t="str">
        <x:v>Accessories</x:v>
      </x:c>
      <x:c r="G84" s="8" t="str">
        <x:v>Wireless Mouse</x:v>
      </x:c>
      <x:c r="H84" s="10" t="n">
        <x:v>11</x:v>
      </x:c>
      <x:c r="I84" s="11" t="n">
        <x:v>40</x:v>
      </x:c>
      <x:c r="J84" s="12" t="n">
        <x:v>0.15</x:v>
      </x:c>
      <x:c r="K84" s="11" t="n">
        <x:f>H84*I84*(1-J84)</x:f>
        <x:v>374</x:v>
      </x:c>
      <x:c r="L84" s="11" t="n">
        <x:f>H84*(I84*0.62)</x:f>
        <x:v>272.8</x:v>
      </x:c>
      <x:c r="M84" s="11" t="n">
        <x:f>K84-L84</x:f>
        <x:v>101.19999999999999</x:v>
      </x:c>
      <x:c r="N84" s="8" t="str">
        <x:v>Direct</x:v>
      </x:c>
      <x:c r="O84" s="8" t="str">
        <x:v>Bank Transfer</x:v>
      </x:c>
      <x:c r="P84" s="8" t="str">
        <x:v>Closed Won</x:v>
      </x:c>
    </x:row>
    <x:row r="85">
      <x:c r="A85" s="8" t="str">
        <x:v>ORD-2025084</x:v>
      </x:c>
      <x:c r="B85" s="9" t="n">
        <x:v>45997</x:v>
      </x:c>
      <x:c r="C85" s="8" t="str">
        <x:v>West</x:v>
      </x:c>
      <x:c r="D85" s="8" t="str">
        <x:v>Mason Lee</x:v>
      </x:c>
      <x:c r="E85" s="8" t="str">
        <x:v>Summit LLC</x:v>
      </x:c>
      <x:c r="F85" s="8" t="str">
        <x:v>Accessories</x:v>
      </x:c>
      <x:c r="G85" s="8" t="str">
        <x:v>Webcam HD</x:v>
      </x:c>
      <x:c r="H85" s="10" t="n">
        <x:v>15</x:v>
      </x:c>
      <x:c r="I85" s="11" t="n">
        <x:v>110</x:v>
      </x:c>
      <x:c r="J85" s="12" t="n">
        <x:v>0</x:v>
      </x:c>
      <x:c r="K85" s="11" t="n">
        <x:f>H85*I85*(1-J85)</x:f>
        <x:v>1650</x:v>
      </x:c>
      <x:c r="L85" s="11" t="n">
        <x:f>H85*(I85*0.62)</x:f>
        <x:v>1023</x:v>
      </x:c>
      <x:c r="M85" s="11" t="n">
        <x:f>K85-L85</x:f>
        <x:v>627</x:v>
      </x:c>
      <x:c r="N85" s="8" t="str">
        <x:v>Partner</x:v>
      </x:c>
      <x:c r="O85" s="8" t="str">
        <x:v>Invoice</x:v>
      </x:c>
      <x:c r="P85" s="8" t="str">
        <x:v>Closed Won</x:v>
      </x:c>
    </x:row>
    <x:row r="86">
      <x:c r="A86" s="8" t="str">
        <x:v>ORD-2025085</x:v>
      </x:c>
      <x:c r="B86" s="9" t="n">
        <x:v>45994</x:v>
      </x:c>
      <x:c r="C86" s="8" t="str">
        <x:v>Central</x:v>
      </x:c>
      <x:c r="D86" s="8" t="str">
        <x:v>Olivia Wilson</x:v>
      </x:c>
      <x:c r="E86" s="8" t="str">
        <x:v>RedStone LLC</x:v>
      </x:c>
      <x:c r="F86" s="8" t="str">
        <x:v>Accessories</x:v>
      </x:c>
      <x:c r="G86" s="8" t="str">
        <x:v>Wireless Mouse</x:v>
      </x:c>
      <x:c r="H86" s="10" t="n">
        <x:v>2</x:v>
      </x:c>
      <x:c r="I86" s="11" t="n">
        <x:v>40</x:v>
      </x:c>
      <x:c r="J86" s="12" t="n">
        <x:v>0</x:v>
      </x:c>
      <x:c r="K86" s="11" t="n">
        <x:f>H86*I86*(1-J86)</x:f>
        <x:v>80</x:v>
      </x:c>
      <x:c r="L86" s="11" t="n">
        <x:f>H86*(I86*0.62)</x:f>
        <x:v>49.6</x:v>
      </x:c>
      <x:c r="M86" s="11" t="n">
        <x:f>K86-L86</x:f>
        <x:v>30.4</x:v>
      </x:c>
      <x:c r="N86" s="8" t="str">
        <x:v>Online</x:v>
      </x:c>
      <x:c r="O86" s="8" t="str">
        <x:v>Invoice</x:v>
      </x:c>
      <x:c r="P86" s="8" t="str">
        <x:v>Shipped</x:v>
      </x:c>
    </x:row>
    <x:row r="87">
      <x:c r="A87" s="8" t="str">
        <x:v>ORD-2025086</x:v>
      </x:c>
      <x:c r="B87" s="9" t="n">
        <x:v>45684</x:v>
      </x:c>
      <x:c r="C87" s="8" t="str">
        <x:v>South</x:v>
      </x:c>
      <x:c r="D87" s="8" t="str">
        <x:v>Ethan Garcia</x:v>
      </x:c>
      <x:c r="E87" s="8" t="str">
        <x:v>Maple Co</x:v>
      </x:c>
      <x:c r="F87" s="8" t="str">
        <x:v>Accessories</x:v>
      </x:c>
      <x:c r="G87" s="8" t="str">
        <x:v>Headset</x:v>
      </x:c>
      <x:c r="H87" s="10" t="n">
        <x:v>5</x:v>
      </x:c>
      <x:c r="I87" s="11" t="n">
        <x:v>85</x:v>
      </x:c>
      <x:c r="J87" s="12" t="n">
        <x:v>0</x:v>
      </x:c>
      <x:c r="K87" s="11" t="n">
        <x:f>H87*I87*(1-J87)</x:f>
        <x:v>425</x:v>
      </x:c>
      <x:c r="L87" s="11" t="n">
        <x:f>H87*(I87*0.62)</x:f>
        <x:v>263.5</x:v>
      </x:c>
      <x:c r="M87" s="11" t="n">
        <x:f>K87-L87</x:f>
        <x:v>161.5</x:v>
      </x:c>
      <x:c r="N87" s="8" t="str">
        <x:v>Partner</x:v>
      </x:c>
      <x:c r="O87" s="8" t="str">
        <x:v>PayPal</x:v>
      </x:c>
      <x:c r="P87" s="8" t="str">
        <x:v>Closed Won</x:v>
      </x:c>
    </x:row>
    <x:row r="88">
      <x:c r="A88" s="8" t="str">
        <x:v>ORD-2025087</x:v>
      </x:c>
      <x:c r="B88" s="9" t="n">
        <x:v>45817</x:v>
      </x:c>
      <x:c r="C88" s="8" t="str">
        <x:v>Central</x:v>
      </x:c>
      <x:c r="D88" s="8" t="str">
        <x:v>Ava Patel</x:v>
      </x:c>
      <x:c r="E88" s="8" t="str">
        <x:v>Maple Co</x:v>
      </x:c>
      <x:c r="F88" s="8" t="str">
        <x:v>Hardware</x:v>
      </x:c>
      <x:c r="G88" s="8" t="str">
        <x:v>Tablet Air</x:v>
      </x:c>
      <x:c r="H88" s="10" t="n">
        <x:v>14</x:v>
      </x:c>
      <x:c r="I88" s="11" t="n">
        <x:v>820</x:v>
      </x:c>
      <x:c r="J88" s="12" t="n">
        <x:v>0</x:v>
      </x:c>
      <x:c r="K88" s="11" t="n">
        <x:f>H88*I88*(1-J88)</x:f>
        <x:v>11480</x:v>
      </x:c>
      <x:c r="L88" s="11" t="n">
        <x:f>H88*(I88*0.62)</x:f>
        <x:v>7117.599999999999</x:v>
      </x:c>
      <x:c r="M88" s="11" t="n">
        <x:f>K88-L88</x:f>
        <x:v>4362.400000000001</x:v>
      </x:c>
      <x:c r="N88" s="8" t="str">
        <x:v>Direct</x:v>
      </x:c>
      <x:c r="O88" s="8" t="str">
        <x:v>Credit Card</x:v>
      </x:c>
      <x:c r="P88" s="8" t="str">
        <x:v>Pending</x:v>
      </x:c>
    </x:row>
    <x:row r="89">
      <x:c r="A89" s="8" t="str">
        <x:v>ORD-2025088</x:v>
      </x:c>
      <x:c r="B89" s="9" t="n">
        <x:v>45913</x:v>
      </x:c>
      <x:c r="C89" s="8" t="str">
        <x:v>East</x:v>
      </x:c>
      <x:c r="D89" s="8" t="str">
        <x:v>Mason Lee</x:v>
      </x:c>
      <x:c r="E89" s="8" t="str">
        <x:v>Prime Co</x:v>
      </x:c>
      <x:c r="F89" s="8" t="str">
        <x:v>Software</x:v>
      </x:c>
      <x:c r="G89" s="8" t="str">
        <x:v>Analytics Cloud</x:v>
      </x:c>
      <x:c r="H89" s="10" t="n">
        <x:v>14</x:v>
      </x:c>
      <x:c r="I89" s="11" t="n">
        <x:v>1800</x:v>
      </x:c>
      <x:c r="J89" s="12" t="n">
        <x:v>0.2</x:v>
      </x:c>
      <x:c r="K89" s="11" t="n">
        <x:f>H89*I89*(1-J89)</x:f>
        <x:v>20160</x:v>
      </x:c>
      <x:c r="L89" s="11" t="n">
        <x:f>H89*(I89*0.62)</x:f>
        <x:v>15624</x:v>
      </x:c>
      <x:c r="M89" s="11" t="n">
        <x:f>K89-L89</x:f>
        <x:v>4536</x:v>
      </x:c>
      <x:c r="N89" s="8" t="str">
        <x:v>Partner</x:v>
      </x:c>
      <x:c r="O89" s="8" t="str">
        <x:v>PayPal</x:v>
      </x:c>
      <x:c r="P89" s="8" t="str">
        <x:v>Closed Won</x:v>
      </x:c>
    </x:row>
    <x:row r="90">
      <x:c r="A90" s="8" t="str">
        <x:v>ORD-2025089</x:v>
      </x:c>
      <x:c r="B90" s="9" t="n">
        <x:v>45755</x:v>
      </x:c>
      <x:c r="C90" s="8" t="str">
        <x:v>Central</x:v>
      </x:c>
      <x:c r="D90" s="8" t="str">
        <x:v>Mason Lee</x:v>
      </x:c>
      <x:c r="E90" s="8" t="str">
        <x:v>Urban Inc</x:v>
      </x:c>
      <x:c r="F90" s="8" t="str">
        <x:v>Hardware</x:v>
      </x:c>
      <x:c r="G90" s="8" t="str">
        <x:v>Monitor 27</x:v>
      </x:c>
      <x:c r="H90" s="10" t="n">
        <x:v>3</x:v>
      </x:c>
      <x:c r="I90" s="11" t="n">
        <x:v>320</x:v>
      </x:c>
      <x:c r="J90" s="12" t="n">
        <x:v>0</x:v>
      </x:c>
      <x:c r="K90" s="11" t="n">
        <x:f>H90*I90*(1-J90)</x:f>
        <x:v>960</x:v>
      </x:c>
      <x:c r="L90" s="11" t="n">
        <x:f>H90*(I90*0.62)</x:f>
        <x:v>595.2</x:v>
      </x:c>
      <x:c r="M90" s="11" t="n">
        <x:f>K90-L90</x:f>
        <x:v>364.79999999999995</x:v>
      </x:c>
      <x:c r="N90" s="8" t="str">
        <x:v>Partner</x:v>
      </x:c>
      <x:c r="O90" s="8" t="str">
        <x:v>Invoice</x:v>
      </x:c>
      <x:c r="P90" s="8" t="str">
        <x:v>Cancelled</x:v>
      </x:c>
    </x:row>
    <x:row r="91">
      <x:c r="A91" s="8" t="str">
        <x:v>ORD-2025090</x:v>
      </x:c>
      <x:c r="B91" s="9" t="n">
        <x:v>45802</x:v>
      </x:c>
      <x:c r="C91" s="8" t="str">
        <x:v>East</x:v>
      </x:c>
      <x:c r="D91" s="8" t="str">
        <x:v>Emma Martin</x:v>
      </x:c>
      <x:c r="E91" s="8" t="str">
        <x:v>Ironwood Co</x:v>
      </x:c>
      <x:c r="F91" s="8" t="str">
        <x:v>Services</x:v>
      </x:c>
      <x:c r="G91" s="8" t="str">
        <x:v>Implementation</x:v>
      </x:c>
      <x:c r="H91" s="10" t="n">
        <x:v>22</x:v>
      </x:c>
      <x:c r="I91" s="11" t="n">
        <x:v>2500</x:v>
      </x:c>
      <x:c r="J91" s="12" t="n">
        <x:v>0.05</x:v>
      </x:c>
      <x:c r="K91" s="11" t="n">
        <x:f>H91*I91*(1-J91)</x:f>
        <x:v>52250</x:v>
      </x:c>
      <x:c r="L91" s="11" t="n">
        <x:f>H91*(I91*0.62)</x:f>
        <x:v>34100</x:v>
      </x:c>
      <x:c r="M91" s="11" t="n">
        <x:f>K91-L91</x:f>
        <x:v>18150</x:v>
      </x:c>
      <x:c r="N91" s="8" t="str">
        <x:v>Direct</x:v>
      </x:c>
      <x:c r="O91" s="8" t="str">
        <x:v>PayPal</x:v>
      </x:c>
      <x:c r="P91" s="8" t="str">
        <x:v>Pending</x:v>
      </x:c>
    </x:row>
    <x:row r="92">
      <x:c r="A92" s="8" t="str">
        <x:v>ORD-2025091</x:v>
      </x:c>
      <x:c r="B92" s="9" t="n">
        <x:v>45940</x:v>
      </x:c>
      <x:c r="C92" s="8" t="str">
        <x:v>Central</x:v>
      </x:c>
      <x:c r="D92" s="8" t="str">
        <x:v>Lucas Brown</x:v>
      </x:c>
      <x:c r="E92" s="8" t="str">
        <x:v>GoldenGate Co</x:v>
      </x:c>
      <x:c r="F92" s="8" t="str">
        <x:v>Services</x:v>
      </x:c>
      <x:c r="G92" s="8" t="str">
        <x:v>Support Plus</x:v>
      </x:c>
      <x:c r="H92" s="10" t="n">
        <x:v>11</x:v>
      </x:c>
      <x:c r="I92" s="11" t="n">
        <x:v>650</x:v>
      </x:c>
      <x:c r="J92" s="12" t="n">
        <x:v>0.2</x:v>
      </x:c>
      <x:c r="K92" s="11" t="n">
        <x:f>H92*I92*(1-J92)</x:f>
        <x:v>5720</x:v>
      </x:c>
      <x:c r="L92" s="11" t="n">
        <x:f>H92*(I92*0.62)</x:f>
        <x:v>4433</x:v>
      </x:c>
      <x:c r="M92" s="11" t="n">
        <x:f>K92-L92</x:f>
        <x:v>1287</x:v>
      </x:c>
      <x:c r="N92" s="8" t="str">
        <x:v>Direct</x:v>
      </x:c>
      <x:c r="O92" s="8" t="str">
        <x:v>Bank Transfer</x:v>
      </x:c>
      <x:c r="P92" s="8" t="str">
        <x:v>Shipped</x:v>
      </x:c>
    </x:row>
    <x:row r="93">
      <x:c r="A93" s="8" t="str">
        <x:v>ORD-2025092</x:v>
      </x:c>
      <x:c r="B93" s="9" t="n">
        <x:v>45680</x:v>
      </x:c>
      <x:c r="C93" s="8" t="str">
        <x:v>East</x:v>
      </x:c>
      <x:c r="D93" s="8" t="str">
        <x:v>Olivia Wilson</x:v>
      </x:c>
      <x:c r="E93" s="8" t="str">
        <x:v>SilverLine LLC</x:v>
      </x:c>
      <x:c r="F93" s="8" t="str">
        <x:v>Hardware</x:v>
      </x:c>
      <x:c r="G93" s="8" t="str">
        <x:v>Monitor 27</x:v>
      </x:c>
      <x:c r="H93" s="10" t="n">
        <x:v>13</x:v>
      </x:c>
      <x:c r="I93" s="11" t="n">
        <x:v>320</x:v>
      </x:c>
      <x:c r="J93" s="12" t="n">
        <x:v>0.15</x:v>
      </x:c>
      <x:c r="K93" s="11" t="n">
        <x:f>H93*I93*(1-J93)</x:f>
        <x:v>3536</x:v>
      </x:c>
      <x:c r="L93" s="11" t="n">
        <x:f>H93*(I93*0.62)</x:f>
        <x:v>2579.2000000000003</x:v>
      </x:c>
      <x:c r="M93" s="11" t="n">
        <x:f>K93-L93</x:f>
        <x:v>956.7999999999997</x:v>
      </x:c>
      <x:c r="N93" s="8" t="str">
        <x:v>Online</x:v>
      </x:c>
      <x:c r="O93" s="8" t="str">
        <x:v>Bank Transfer</x:v>
      </x:c>
      <x:c r="P93" s="8" t="str">
        <x:v>Pending</x:v>
      </x:c>
    </x:row>
    <x:row r="94">
      <x:c r="A94" s="8" t="str">
        <x:v>ORD-2025093</x:v>
      </x:c>
      <x:c r="B94" s="9" t="n">
        <x:v>45915</x:v>
      </x:c>
      <x:c r="C94" s="8" t="str">
        <x:v>Central</x:v>
      </x:c>
      <x:c r="D94" s="8" t="str">
        <x:v>Sophia Kim</x:v>
      </x:c>
      <x:c r="E94" s="8" t="str">
        <x:v>Pioneer LLC</x:v>
      </x:c>
      <x:c r="F94" s="8" t="str">
        <x:v>Software</x:v>
      </x:c>
      <x:c r="G94" s="8" t="str">
        <x:v>Analytics Cloud</x:v>
      </x:c>
      <x:c r="H94" s="10" t="n">
        <x:v>15</x:v>
      </x:c>
      <x:c r="I94" s="11" t="n">
        <x:v>1800</x:v>
      </x:c>
      <x:c r="J94" s="12" t="n">
        <x:v>0</x:v>
      </x:c>
      <x:c r="K94" s="11" t="n">
        <x:f>H94*I94*(1-J94)</x:f>
        <x:v>27000</x:v>
      </x:c>
      <x:c r="L94" s="11" t="n">
        <x:f>H94*(I94*0.62)</x:f>
        <x:v>16740</x:v>
      </x:c>
      <x:c r="M94" s="11" t="n">
        <x:f>K94-L94</x:f>
        <x:v>10260</x:v>
      </x:c>
      <x:c r="N94" s="8" t="str">
        <x:v>Online</x:v>
      </x:c>
      <x:c r="O94" s="8" t="str">
        <x:v>PayPal</x:v>
      </x:c>
      <x:c r="P94" s="8" t="str">
        <x:v>Closed Won</x:v>
      </x:c>
    </x:row>
    <x:row r="95">
      <x:c r="A95" s="8" t="str">
        <x:v>ORD-2025094</x:v>
      </x:c>
      <x:c r="B95" s="9" t="n">
        <x:v>45993</x:v>
      </x:c>
      <x:c r="C95" s="8" t="str">
        <x:v>South</x:v>
      </x:c>
      <x:c r="D95" s="8" t="str">
        <x:v>Liam Chen</x:v>
      </x:c>
      <x:c r="E95" s="8" t="str">
        <x:v>NorthStar LLC</x:v>
      </x:c>
      <x:c r="F95" s="8" t="str">
        <x:v>Hardware</x:v>
      </x:c>
      <x:c r="G95" s="8" t="str">
        <x:v>Monitor 27</x:v>
      </x:c>
      <x:c r="H95" s="10" t="n">
        <x:v>9</x:v>
      </x:c>
      <x:c r="I95" s="11" t="n">
        <x:v>320</x:v>
      </x:c>
      <x:c r="J95" s="12" t="n">
        <x:v>0</x:v>
      </x:c>
      <x:c r="K95" s="11" t="n">
        <x:f>H95*I95*(1-J95)</x:f>
        <x:v>2880</x:v>
      </x:c>
      <x:c r="L95" s="11" t="n">
        <x:f>H95*(I95*0.62)</x:f>
        <x:v>1785.6000000000001</x:v>
      </x:c>
      <x:c r="M95" s="11" t="n">
        <x:f>K95-L95</x:f>
        <x:v>1094.3999999999999</x:v>
      </x:c>
      <x:c r="N95" s="8" t="str">
        <x:v>Online</x:v>
      </x:c>
      <x:c r="O95" s="8" t="str">
        <x:v>PayPal</x:v>
      </x:c>
      <x:c r="P95" s="8" t="str">
        <x:v>Shipped</x:v>
      </x:c>
    </x:row>
    <x:row r="96">
      <x:c r="A96" s="8" t="str">
        <x:v>ORD-2025095</x:v>
      </x:c>
      <x:c r="B96" s="9" t="n">
        <x:v>45820</x:v>
      </x:c>
      <x:c r="C96" s="8" t="str">
        <x:v>West</x:v>
      </x:c>
      <x:c r="D96" s="8" t="str">
        <x:v>Mason Lee</x:v>
      </x:c>
      <x:c r="E96" s="8" t="str">
        <x:v>Summit LLC</x:v>
      </x:c>
      <x:c r="F96" s="8" t="str">
        <x:v>Services</x:v>
      </x:c>
      <x:c r="G96" s="8" t="str">
        <x:v>Consulting Day</x:v>
      </x:c>
      <x:c r="H96" s="10" t="n">
        <x:v>20</x:v>
      </x:c>
      <x:c r="I96" s="11" t="n">
        <x:v>1400</x:v>
      </x:c>
      <x:c r="J96" s="12" t="n">
        <x:v>0</x:v>
      </x:c>
      <x:c r="K96" s="11" t="n">
        <x:f>H96*I96*(1-J96)</x:f>
        <x:v>28000</x:v>
      </x:c>
      <x:c r="L96" s="11" t="n">
        <x:f>H96*(I96*0.62)</x:f>
        <x:v>17360</x:v>
      </x:c>
      <x:c r="M96" s="11" t="n">
        <x:f>K96-L96</x:f>
        <x:v>10640</x:v>
      </x:c>
      <x:c r="N96" s="8" t="str">
        <x:v>Direct</x:v>
      </x:c>
      <x:c r="O96" s="8" t="str">
        <x:v>Invoice</x:v>
      </x:c>
      <x:c r="P96" s="8" t="str">
        <x:v>Cancelled</x:v>
      </x:c>
    </x:row>
    <x:row r="97">
      <x:c r="A97" s="8" t="str">
        <x:v>ORD-2025096</x:v>
      </x:c>
      <x:c r="B97" s="9" t="n">
        <x:v>45708</x:v>
      </x:c>
      <x:c r="C97" s="8" t="str">
        <x:v>North</x:v>
      </x:c>
      <x:c r="D97" s="8" t="str">
        <x:v>Olivia Wilson</x:v>
      </x:c>
      <x:c r="E97" s="8" t="str">
        <x:v>GreenLeaf Inc</x:v>
      </x:c>
      <x:c r="F97" s="8" t="str">
        <x:v>Software</x:v>
      </x:c>
      <x:c r="G97" s="8" t="str">
        <x:v>ProjectFlow</x:v>
      </x:c>
      <x:c r="H97" s="10" t="n">
        <x:v>23</x:v>
      </x:c>
      <x:c r="I97" s="11" t="n">
        <x:v>700</x:v>
      </x:c>
      <x:c r="J97" s="12" t="n">
        <x:v>0</x:v>
      </x:c>
      <x:c r="K97" s="11" t="n">
        <x:f>H97*I97*(1-J97)</x:f>
        <x:v>16100</x:v>
      </x:c>
      <x:c r="L97" s="11" t="n">
        <x:f>H97*(I97*0.62)</x:f>
        <x:v>9982</x:v>
      </x:c>
      <x:c r="M97" s="11" t="n">
        <x:f>K97-L97</x:f>
        <x:v>6118</x:v>
      </x:c>
      <x:c r="N97" s="8" t="str">
        <x:v>Direct</x:v>
      </x:c>
      <x:c r="O97" s="8" t="str">
        <x:v>Credit Card</x:v>
      </x:c>
      <x:c r="P97" s="8" t="str">
        <x:v>Closed Won</x:v>
      </x:c>
    </x:row>
    <x:row r="98">
      <x:c r="A98" s="8" t="str">
        <x:v>ORD-2025097</x:v>
      </x:c>
      <x:c r="B98" s="9" t="n">
        <x:v>45841</x:v>
      </x:c>
      <x:c r="C98" s="8" t="str">
        <x:v>East</x:v>
      </x:c>
      <x:c r="D98" s="8" t="str">
        <x:v>Lucas Brown</x:v>
      </x:c>
      <x:c r="E98" s="8" t="str">
        <x:v>Urban Co</x:v>
      </x:c>
      <x:c r="F98" s="8" t="str">
        <x:v>Software</x:v>
      </x:c>
      <x:c r="G98" s="8" t="str">
        <x:v>HR Suite</x:v>
      </x:c>
      <x:c r="H98" s="10" t="n">
        <x:v>8</x:v>
      </x:c>
      <x:c r="I98" s="11" t="n">
        <x:v>950</x:v>
      </x:c>
      <x:c r="J98" s="12" t="n">
        <x:v>0.1</x:v>
      </x:c>
      <x:c r="K98" s="11" t="n">
        <x:f>H98*I98*(1-J98)</x:f>
        <x:v>6840</x:v>
      </x:c>
      <x:c r="L98" s="11" t="n">
        <x:f>H98*(I98*0.62)</x:f>
        <x:v>4712</x:v>
      </x:c>
      <x:c r="M98" s="11" t="n">
        <x:f>K98-L98</x:f>
        <x:v>2128</x:v>
      </x:c>
      <x:c r="N98" s="8" t="str">
        <x:v>Partner</x:v>
      </x:c>
      <x:c r="O98" s="8" t="str">
        <x:v>Bank Transfer</x:v>
      </x:c>
      <x:c r="P98" s="8" t="str">
        <x:v>Closed Won</x:v>
      </x:c>
    </x:row>
    <x:row r="99">
      <x:c r="A99" s="8" t="str">
        <x:v>ORD-2025098</x:v>
      </x:c>
      <x:c r="B99" s="9" t="n">
        <x:v>45975</x:v>
      </x:c>
      <x:c r="C99" s="8" t="str">
        <x:v>South</x:v>
      </x:c>
      <x:c r="D99" s="8" t="str">
        <x:v>Olivia Wilson</x:v>
      </x:c>
      <x:c r="E99" s="8" t="str">
        <x:v>Ironwood Co</x:v>
      </x:c>
      <x:c r="F99" s="8" t="str">
        <x:v>Software</x:v>
      </x:c>
      <x:c r="G99" s="8" t="str">
        <x:v>ProjectFlow</x:v>
      </x:c>
      <x:c r="H99" s="10" t="n">
        <x:v>5</x:v>
      </x:c>
      <x:c r="I99" s="11" t="n">
        <x:v>700</x:v>
      </x:c>
      <x:c r="J99" s="12" t="n">
        <x:v>0</x:v>
      </x:c>
      <x:c r="K99" s="11" t="n">
        <x:f>H99*I99*(1-J99)</x:f>
        <x:v>3500</x:v>
      </x:c>
      <x:c r="L99" s="11" t="n">
        <x:f>H99*(I99*0.62)</x:f>
        <x:v>2170</x:v>
      </x:c>
      <x:c r="M99" s="11" t="n">
        <x:f>K99-L99</x:f>
        <x:v>1330</x:v>
      </x:c>
      <x:c r="N99" s="8" t="str">
        <x:v>Partner</x:v>
      </x:c>
      <x:c r="O99" s="8" t="str">
        <x:v>Invoice</x:v>
      </x:c>
      <x:c r="P99" s="8" t="str">
        <x:v>Pending</x:v>
      </x:c>
    </x:row>
    <x:row r="100">
      <x:c r="A100" s="8" t="str">
        <x:v>ORD-2025099</x:v>
      </x:c>
      <x:c r="B100" s="9" t="n">
        <x:v>45805</x:v>
      </x:c>
      <x:c r="C100" s="8" t="str">
        <x:v>Central</x:v>
      </x:c>
      <x:c r="D100" s="8" t="str">
        <x:v>Noah Davis</x:v>
      </x:c>
      <x:c r="E100" s="8" t="str">
        <x:v>BlueSky Inc</x:v>
      </x:c>
      <x:c r="F100" s="8" t="str">
        <x:v>Software</x:v>
      </x:c>
      <x:c r="G100" s="8" t="str">
        <x:v>ProjectFlow</x:v>
      </x:c>
      <x:c r="H100" s="10" t="n">
        <x:v>15</x:v>
      </x:c>
      <x:c r="I100" s="11" t="n">
        <x:v>700</x:v>
      </x:c>
      <x:c r="J100" s="12" t="n">
        <x:v>0</x:v>
      </x:c>
      <x:c r="K100" s="11" t="n">
        <x:f>H100*I100*(1-J100)</x:f>
        <x:v>10500</x:v>
      </x:c>
      <x:c r="L100" s="11" t="n">
        <x:f>H100*(I100*0.62)</x:f>
        <x:v>6510</x:v>
      </x:c>
      <x:c r="M100" s="11" t="n">
        <x:f>K100-L100</x:f>
        <x:v>3990</x:v>
      </x:c>
      <x:c r="N100" s="8" t="str">
        <x:v>Online</x:v>
      </x:c>
      <x:c r="O100" s="8" t="str">
        <x:v>Invoice</x:v>
      </x:c>
      <x:c r="P100" s="8" t="str">
        <x:v>Shipped</x:v>
      </x:c>
    </x:row>
    <x:row r="101">
      <x:c r="A101" s="8" t="str">
        <x:v>ORD-2025100</x:v>
      </x:c>
      <x:c r="B101" s="9" t="n">
        <x:v>45891</x:v>
      </x:c>
      <x:c r="C101" s="8" t="str">
        <x:v>East</x:v>
      </x:c>
      <x:c r="D101" s="8" t="str">
        <x:v>Mia Johnson</x:v>
      </x:c>
      <x:c r="E101" s="8" t="str">
        <x:v>SilverLine Inc</x:v>
      </x:c>
      <x:c r="F101" s="8" t="str">
        <x:v>Accessories</x:v>
      </x:c>
      <x:c r="G101" s="8" t="str">
        <x:v>Webcam HD</x:v>
      </x:c>
      <x:c r="H101" s="10" t="n">
        <x:v>16</x:v>
      </x:c>
      <x:c r="I101" s="11" t="n">
        <x:v>110</x:v>
      </x:c>
      <x:c r="J101" s="12" t="n">
        <x:v>0</x:v>
      </x:c>
      <x:c r="K101" s="11" t="n">
        <x:f>H101*I101*(1-J101)</x:f>
        <x:v>1760</x:v>
      </x:c>
      <x:c r="L101" s="11" t="n">
        <x:f>H101*(I101*0.62)</x:f>
        <x:v>1091.2</x:v>
      </x:c>
      <x:c r="M101" s="11" t="n">
        <x:f>K101-L101</x:f>
        <x:v>668.8</x:v>
      </x:c>
      <x:c r="N101" s="8" t="str">
        <x:v>Direct</x:v>
      </x:c>
      <x:c r="O101" s="8" t="str">
        <x:v>PayPal</x:v>
      </x:c>
      <x:c r="P101" s="8" t="str">
        <x:v>Shipped</x:v>
      </x:c>
    </x:row>
    <x:row r="102">
      <x:c r="A102" s="8" t="str">
        <x:v>ORD-2025101</x:v>
      </x:c>
      <x:c r="B102" s="9" t="n">
        <x:v>45669</x:v>
      </x:c>
      <x:c r="C102" s="8" t="str">
        <x:v>West</x:v>
      </x:c>
      <x:c r="D102" s="8" t="str">
        <x:v>Ethan Garcia</x:v>
      </x:c>
      <x:c r="E102" s="8" t="str">
        <x:v>Acme Inc</x:v>
      </x:c>
      <x:c r="F102" s="8" t="str">
        <x:v>Services</x:v>
      </x:c>
      <x:c r="G102" s="8" t="str">
        <x:v>Support Plus</x:v>
      </x:c>
      <x:c r="H102" s="10" t="n">
        <x:v>19</x:v>
      </x:c>
      <x:c r="I102" s="11" t="n">
        <x:v>650</x:v>
      </x:c>
      <x:c r="J102" s="12" t="n">
        <x:v>0.2</x:v>
      </x:c>
      <x:c r="K102" s="11" t="n">
        <x:f>H102*I102*(1-J102)</x:f>
        <x:v>9880</x:v>
      </x:c>
      <x:c r="L102" s="11" t="n">
        <x:f>H102*(I102*0.62)</x:f>
        <x:v>7657</x:v>
      </x:c>
      <x:c r="M102" s="11" t="n">
        <x:f>K102-L102</x:f>
        <x:v>2223</x:v>
      </x:c>
      <x:c r="N102" s="8" t="str">
        <x:v>Online</x:v>
      </x:c>
      <x:c r="O102" s="8" t="str">
        <x:v>Credit Card</x:v>
      </x:c>
      <x:c r="P102" s="8" t="str">
        <x:v>Cancelled</x:v>
      </x:c>
    </x:row>
    <x:row r="103">
      <x:c r="A103" s="8" t="str">
        <x:v>ORD-2025102</x:v>
      </x:c>
      <x:c r="B103" s="9" t="n">
        <x:v>45775</x:v>
      </x:c>
      <x:c r="C103" s="8" t="str">
        <x:v>Central</x:v>
      </x:c>
      <x:c r="D103" s="8" t="str">
        <x:v>Sophia Kim</x:v>
      </x:c>
      <x:c r="E103" s="8" t="str">
        <x:v>Cedar LLC</x:v>
      </x:c>
      <x:c r="F103" s="8" t="str">
        <x:v>Accessories</x:v>
      </x:c>
      <x:c r="G103" s="8" t="str">
        <x:v>Webcam HD</x:v>
      </x:c>
      <x:c r="H103" s="10" t="n">
        <x:v>21</x:v>
      </x:c>
      <x:c r="I103" s="11" t="n">
        <x:v>110</x:v>
      </x:c>
      <x:c r="J103" s="12" t="n">
        <x:v>0</x:v>
      </x:c>
      <x:c r="K103" s="11" t="n">
        <x:f>H103*I103*(1-J103)</x:f>
        <x:v>2310</x:v>
      </x:c>
      <x:c r="L103" s="11" t="n">
        <x:f>H103*(I103*0.62)</x:f>
        <x:v>1432.2</x:v>
      </x:c>
      <x:c r="M103" s="11" t="n">
        <x:f>K103-L103</x:f>
        <x:v>877.8</x:v>
      </x:c>
      <x:c r="N103" s="8" t="str">
        <x:v>Online</x:v>
      </x:c>
      <x:c r="O103" s="8" t="str">
        <x:v>Invoice</x:v>
      </x:c>
      <x:c r="P103" s="8" t="str">
        <x:v>Shipped</x:v>
      </x:c>
    </x:row>
    <x:row r="104">
      <x:c r="A104" s="8" t="str">
        <x:v>ORD-2025103</x:v>
      </x:c>
      <x:c r="B104" s="9" t="n">
        <x:v>45979</x:v>
      </x:c>
      <x:c r="C104" s="8" t="str">
        <x:v>North</x:v>
      </x:c>
      <x:c r="D104" s="8" t="str">
        <x:v>Ethan Garcia</x:v>
      </x:c>
      <x:c r="E104" s="8" t="str">
        <x:v>GoldenGate LLC</x:v>
      </x:c>
      <x:c r="F104" s="8" t="str">
        <x:v>Hardware</x:v>
      </x:c>
      <x:c r="G104" s="8" t="str">
        <x:v>Laptop X</x:v>
      </x:c>
      <x:c r="H104" s="10" t="n">
        <x:v>2</x:v>
      </x:c>
      <x:c r="I104" s="11" t="n">
        <x:v>1500</x:v>
      </x:c>
      <x:c r="J104" s="12" t="n">
        <x:v>0.1</x:v>
      </x:c>
      <x:c r="K104" s="11" t="n">
        <x:f>H104*I104*(1-J104)</x:f>
        <x:v>2700</x:v>
      </x:c>
      <x:c r="L104" s="11" t="n">
        <x:f>H104*(I104*0.62)</x:f>
        <x:v>1860</x:v>
      </x:c>
      <x:c r="M104" s="11" t="n">
        <x:f>K104-L104</x:f>
        <x:v>840</x:v>
      </x:c>
      <x:c r="N104" s="8" t="str">
        <x:v>Partner</x:v>
      </x:c>
      <x:c r="O104" s="8" t="str">
        <x:v>Bank Transfer</x:v>
      </x:c>
      <x:c r="P104" s="8" t="str">
        <x:v>Closed Won</x:v>
      </x:c>
    </x:row>
    <x:row r="105">
      <x:c r="A105" s="8" t="str">
        <x:v>ORD-2025104</x:v>
      </x:c>
      <x:c r="B105" s="9" t="n">
        <x:v>45870</x:v>
      </x:c>
      <x:c r="C105" s="8" t="str">
        <x:v>South</x:v>
      </x:c>
      <x:c r="D105" s="8" t="str">
        <x:v>Mia Johnson</x:v>
      </x:c>
      <x:c r="E105" s="8" t="str">
        <x:v>Urban LLC</x:v>
      </x:c>
      <x:c r="F105" s="8" t="str">
        <x:v>Services</x:v>
      </x:c>
      <x:c r="G105" s="8" t="str">
        <x:v>Support Plus</x:v>
      </x:c>
      <x:c r="H105" s="10" t="n">
        <x:v>18</x:v>
      </x:c>
      <x:c r="I105" s="11" t="n">
        <x:v>650</x:v>
      </x:c>
      <x:c r="J105" s="12" t="n">
        <x:v>0</x:v>
      </x:c>
      <x:c r="K105" s="11" t="n">
        <x:f>H105*I105*(1-J105)</x:f>
        <x:v>11700</x:v>
      </x:c>
      <x:c r="L105" s="11" t="n">
        <x:f>H105*(I105*0.62)</x:f>
        <x:v>7254</x:v>
      </x:c>
      <x:c r="M105" s="11" t="n">
        <x:f>K105-L105</x:f>
        <x:v>4446</x:v>
      </x:c>
      <x:c r="N105" s="8" t="str">
        <x:v>Online</x:v>
      </x:c>
      <x:c r="O105" s="8" t="str">
        <x:v>Invoice</x:v>
      </x:c>
      <x:c r="P105" s="8" t="str">
        <x:v>Returned</x:v>
      </x:c>
    </x:row>
    <x:row r="106">
      <x:c r="A106" s="8" t="str">
        <x:v>ORD-2025105</x:v>
      </x:c>
      <x:c r="B106" s="9" t="n">
        <x:v>45809</x:v>
      </x:c>
      <x:c r="C106" s="8" t="str">
        <x:v>East</x:v>
      </x:c>
      <x:c r="D106" s="8" t="str">
        <x:v>Liam Chen</x:v>
      </x:c>
      <x:c r="E106" s="8" t="str">
        <x:v>GoldenGate Group</x:v>
      </x:c>
      <x:c r="F106" s="8" t="str">
        <x:v>Services</x:v>
      </x:c>
      <x:c r="G106" s="8" t="str">
        <x:v>Consulting Day</x:v>
      </x:c>
      <x:c r="H106" s="10" t="n">
        <x:v>3</x:v>
      </x:c>
      <x:c r="I106" s="11" t="n">
        <x:v>1400</x:v>
      </x:c>
      <x:c r="J106" s="12" t="n">
        <x:v>0</x:v>
      </x:c>
      <x:c r="K106" s="11" t="n">
        <x:f>H106*I106*(1-J106)</x:f>
        <x:v>4200</x:v>
      </x:c>
      <x:c r="L106" s="11" t="n">
        <x:f>H106*(I106*0.62)</x:f>
        <x:v>2604</x:v>
      </x:c>
      <x:c r="M106" s="11" t="n">
        <x:f>K106-L106</x:f>
        <x:v>1596</x:v>
      </x:c>
      <x:c r="N106" s="8" t="str">
        <x:v>Direct</x:v>
      </x:c>
      <x:c r="O106" s="8" t="str">
        <x:v>PayPal</x:v>
      </x:c>
      <x:c r="P106" s="8" t="str">
        <x:v>Cancelled</x:v>
      </x:c>
    </x:row>
    <x:row r="107">
      <x:c r="A107" s="8" t="str">
        <x:v>ORD-2025106</x:v>
      </x:c>
      <x:c r="B107" s="9" t="n">
        <x:v>45860</x:v>
      </x:c>
      <x:c r="C107" s="8" t="str">
        <x:v>North</x:v>
      </x:c>
      <x:c r="D107" s="8" t="str">
        <x:v>Ethan Garcia</x:v>
      </x:c>
      <x:c r="E107" s="8" t="str">
        <x:v>Maple LLC</x:v>
      </x:c>
      <x:c r="F107" s="8" t="str">
        <x:v>Services</x:v>
      </x:c>
      <x:c r="G107" s="8" t="str">
        <x:v>Implementation</x:v>
      </x:c>
      <x:c r="H107" s="10" t="n">
        <x:v>4</x:v>
      </x:c>
      <x:c r="I107" s="11" t="n">
        <x:v>2500</x:v>
      </x:c>
      <x:c r="J107" s="12" t="n">
        <x:v>0.05</x:v>
      </x:c>
      <x:c r="K107" s="11" t="n">
        <x:f>H107*I107*(1-J107)</x:f>
        <x:v>9500</x:v>
      </x:c>
      <x:c r="L107" s="11" t="n">
        <x:f>H107*(I107*0.62)</x:f>
        <x:v>6200</x:v>
      </x:c>
      <x:c r="M107" s="11" t="n">
        <x:f>K107-L107</x:f>
        <x:v>3300</x:v>
      </x:c>
      <x:c r="N107" s="8" t="str">
        <x:v>Partner</x:v>
      </x:c>
      <x:c r="O107" s="8" t="str">
        <x:v>Invoice</x:v>
      </x:c>
      <x:c r="P107" s="8" t="str">
        <x:v>Shipped</x:v>
      </x:c>
    </x:row>
    <x:row r="108">
      <x:c r="A108" s="8" t="str">
        <x:v>ORD-2025107</x:v>
      </x:c>
      <x:c r="B108" s="9" t="n">
        <x:v>46003</x:v>
      </x:c>
      <x:c r="C108" s="8" t="str">
        <x:v>South</x:v>
      </x:c>
      <x:c r="D108" s="8" t="str">
        <x:v>Olivia Wilson</x:v>
      </x:c>
      <x:c r="E108" s="8" t="str">
        <x:v>Acme Group</x:v>
      </x:c>
      <x:c r="F108" s="8" t="str">
        <x:v>Services</x:v>
      </x:c>
      <x:c r="G108" s="8" t="str">
        <x:v>Implementation</x:v>
      </x:c>
      <x:c r="H108" s="10" t="n">
        <x:v>20</x:v>
      </x:c>
      <x:c r="I108" s="11" t="n">
        <x:v>2500</x:v>
      </x:c>
      <x:c r="J108" s="12" t="n">
        <x:v>0.1</x:v>
      </x:c>
      <x:c r="K108" s="11" t="n">
        <x:f>H108*I108*(1-J108)</x:f>
        <x:v>45000</x:v>
      </x:c>
      <x:c r="L108" s="11" t="n">
        <x:f>H108*(I108*0.62)</x:f>
        <x:v>31000</x:v>
      </x:c>
      <x:c r="M108" s="11" t="n">
        <x:f>K108-L108</x:f>
        <x:v>14000</x:v>
      </x:c>
      <x:c r="N108" s="8" t="str">
        <x:v>Partner</x:v>
      </x:c>
      <x:c r="O108" s="8" t="str">
        <x:v>Bank Transfer</x:v>
      </x:c>
      <x:c r="P108" s="8" t="str">
        <x:v>Shipped</x:v>
      </x:c>
    </x:row>
    <x:row r="109">
      <x:c r="A109" s="8" t="str">
        <x:v>ORD-2025108</x:v>
      </x:c>
      <x:c r="B109" s="9" t="n">
        <x:v>45990</x:v>
      </x:c>
      <x:c r="C109" s="8" t="str">
        <x:v>West</x:v>
      </x:c>
      <x:c r="D109" s="8" t="str">
        <x:v>Liam Chen</x:v>
      </x:c>
      <x:c r="E109" s="8" t="str">
        <x:v>Urban Inc</x:v>
      </x:c>
      <x:c r="F109" s="8" t="str">
        <x:v>Accessories</x:v>
      </x:c>
      <x:c r="G109" s="8" t="str">
        <x:v>Webcam HD</x:v>
      </x:c>
      <x:c r="H109" s="10" t="n">
        <x:v>2</x:v>
      </x:c>
      <x:c r="I109" s="11" t="n">
        <x:v>110</x:v>
      </x:c>
      <x:c r="J109" s="12" t="n">
        <x:v>0</x:v>
      </x:c>
      <x:c r="K109" s="11" t="n">
        <x:f>H109*I109*(1-J109)</x:f>
        <x:v>220</x:v>
      </x:c>
      <x:c r="L109" s="11" t="n">
        <x:f>H109*(I109*0.62)</x:f>
        <x:v>136.4</x:v>
      </x:c>
      <x:c r="M109" s="11" t="n">
        <x:f>K109-L109</x:f>
        <x:v>83.6</x:v>
      </x:c>
      <x:c r="N109" s="8" t="str">
        <x:v>Partner</x:v>
      </x:c>
      <x:c r="O109" s="8" t="str">
        <x:v>PayPal</x:v>
      </x:c>
      <x:c r="P109" s="8" t="str">
        <x:v>Closed Won</x:v>
      </x:c>
    </x:row>
    <x:row r="110">
      <x:c r="A110" s="8" t="str">
        <x:v>ORD-2025109</x:v>
      </x:c>
      <x:c r="B110" s="9" t="n">
        <x:v>45856</x:v>
      </x:c>
      <x:c r="C110" s="8" t="str">
        <x:v>West</x:v>
      </x:c>
      <x:c r="D110" s="8" t="str">
        <x:v>Sophia Kim</x:v>
      </x:c>
      <x:c r="E110" s="8" t="str">
        <x:v>Maple Inc</x:v>
      </x:c>
      <x:c r="F110" s="8" t="str">
        <x:v>Hardware</x:v>
      </x:c>
      <x:c r="G110" s="8" t="str">
        <x:v>Tablet Air</x:v>
      </x:c>
      <x:c r="H110" s="10" t="n">
        <x:v>14</x:v>
      </x:c>
      <x:c r="I110" s="11" t="n">
        <x:v>820</x:v>
      </x:c>
      <x:c r="J110" s="12" t="n">
        <x:v>0.1</x:v>
      </x:c>
      <x:c r="K110" s="11" t="n">
        <x:f>H110*I110*(1-J110)</x:f>
        <x:v>10332</x:v>
      </x:c>
      <x:c r="L110" s="11" t="n">
        <x:f>H110*(I110*0.62)</x:f>
        <x:v>7117.599999999999</x:v>
      </x:c>
      <x:c r="M110" s="11" t="n">
        <x:f>K110-L110</x:f>
        <x:v>3214.4000000000005</x:v>
      </x:c>
      <x:c r="N110" s="8" t="str">
        <x:v>Online</x:v>
      </x:c>
      <x:c r="O110" s="8" t="str">
        <x:v>Bank Transfer</x:v>
      </x:c>
      <x:c r="P110" s="8" t="str">
        <x:v>Cancelled</x:v>
      </x:c>
    </x:row>
    <x:row r="111">
      <x:c r="A111" s="8" t="str">
        <x:v>ORD-2025110</x:v>
      </x:c>
      <x:c r="B111" s="9" t="n">
        <x:v>45973</x:v>
      </x:c>
      <x:c r="C111" s="8" t="str">
        <x:v>West</x:v>
      </x:c>
      <x:c r="D111" s="8" t="str">
        <x:v>Ethan Garcia</x:v>
      </x:c>
      <x:c r="E111" s="8" t="str">
        <x:v>Summit LLC</x:v>
      </x:c>
      <x:c r="F111" s="8" t="str">
        <x:v>Software</x:v>
      </x:c>
      <x:c r="G111" s="8" t="str">
        <x:v>ProjectFlow</x:v>
      </x:c>
      <x:c r="H111" s="10" t="n">
        <x:v>23</x:v>
      </x:c>
      <x:c r="I111" s="11" t="n">
        <x:v>700</x:v>
      </x:c>
      <x:c r="J111" s="12" t="n">
        <x:v>0</x:v>
      </x:c>
      <x:c r="K111" s="11" t="n">
        <x:f>H111*I111*(1-J111)</x:f>
        <x:v>16100</x:v>
      </x:c>
      <x:c r="L111" s="11" t="n">
        <x:f>H111*(I111*0.62)</x:f>
        <x:v>9982</x:v>
      </x:c>
      <x:c r="M111" s="11" t="n">
        <x:f>K111-L111</x:f>
        <x:v>6118</x:v>
      </x:c>
      <x:c r="N111" s="8" t="str">
        <x:v>Direct</x:v>
      </x:c>
      <x:c r="O111" s="8" t="str">
        <x:v>PayPal</x:v>
      </x:c>
      <x:c r="P111" s="8" t="str">
        <x:v>Closed Won</x:v>
      </x:c>
    </x:row>
    <x:row r="112">
      <x:c r="A112" s="8" t="str">
        <x:v>ORD-2025111</x:v>
      </x:c>
      <x:c r="B112" s="9" t="n">
        <x:v>45708</x:v>
      </x:c>
      <x:c r="C112" s="8" t="str">
        <x:v>East</x:v>
      </x:c>
      <x:c r="D112" s="8" t="str">
        <x:v>Mason Lee</x:v>
      </x:c>
      <x:c r="E112" s="8" t="str">
        <x:v>Harbor Inc</x:v>
      </x:c>
      <x:c r="F112" s="8" t="str">
        <x:v>Hardware</x:v>
      </x:c>
      <x:c r="G112" s="8" t="str">
        <x:v>Dock Station</x:v>
      </x:c>
      <x:c r="H112" s="10" t="n">
        <x:v>2</x:v>
      </x:c>
      <x:c r="I112" s="11" t="n">
        <x:v>180</x:v>
      </x:c>
      <x:c r="J112" s="12" t="n">
        <x:v>0.05</x:v>
      </x:c>
      <x:c r="K112" s="11" t="n">
        <x:f>H112*I112*(1-J112)</x:f>
        <x:v>342</x:v>
      </x:c>
      <x:c r="L112" s="11" t="n">
        <x:f>H112*(I112*0.62)</x:f>
        <x:v>223.2</x:v>
      </x:c>
      <x:c r="M112" s="11" t="n">
        <x:f>K112-L112</x:f>
        <x:v>118.80000000000001</x:v>
      </x:c>
      <x:c r="N112" s="8" t="str">
        <x:v>Partner</x:v>
      </x:c>
      <x:c r="O112" s="8" t="str">
        <x:v>Bank Transfer</x:v>
      </x:c>
      <x:c r="P112" s="8" t="str">
        <x:v>Cancelled</x:v>
      </x:c>
    </x:row>
    <x:row r="113">
      <x:c r="A113" s="8" t="str">
        <x:v>ORD-2025112</x:v>
      </x:c>
      <x:c r="B113" s="9" t="n">
        <x:v>45997</x:v>
      </x:c>
      <x:c r="C113" s="8" t="str">
        <x:v>South</x:v>
      </x:c>
      <x:c r="D113" s="8" t="str">
        <x:v>Emma Martin</x:v>
      </x:c>
      <x:c r="E113" s="8" t="str">
        <x:v>Acme Co</x:v>
      </x:c>
      <x:c r="F113" s="8" t="str">
        <x:v>Accessories</x:v>
      </x:c>
      <x:c r="G113" s="8" t="str">
        <x:v>Wireless Mouse</x:v>
      </x:c>
      <x:c r="H113" s="10" t="n">
        <x:v>2</x:v>
      </x:c>
      <x:c r="I113" s="11" t="n">
        <x:v>40</x:v>
      </x:c>
      <x:c r="J113" s="12" t="n">
        <x:v>0.2</x:v>
      </x:c>
      <x:c r="K113" s="11" t="n">
        <x:f>H113*I113*(1-J113)</x:f>
        <x:v>64</x:v>
      </x:c>
      <x:c r="L113" s="11" t="n">
        <x:f>H113*(I113*0.62)</x:f>
        <x:v>49.6</x:v>
      </x:c>
      <x:c r="M113" s="11" t="n">
        <x:f>K113-L113</x:f>
        <x:v>14.399999999999999</x:v>
      </x:c>
      <x:c r="N113" s="8" t="str">
        <x:v>Partner</x:v>
      </x:c>
      <x:c r="O113" s="8" t="str">
        <x:v>Bank Transfer</x:v>
      </x:c>
      <x:c r="P113" s="8" t="str">
        <x:v>Cancelled</x:v>
      </x:c>
    </x:row>
    <x:row r="114">
      <x:c r="A114" s="8" t="str">
        <x:v>ORD-2025113</x:v>
      </x:c>
      <x:c r="B114" s="9" t="n">
        <x:v>45941</x:v>
      </x:c>
      <x:c r="C114" s="8" t="str">
        <x:v>South</x:v>
      </x:c>
      <x:c r="D114" s="8" t="str">
        <x:v>Emma Martin</x:v>
      </x:c>
      <x:c r="E114" s="8" t="str">
        <x:v>Nexus Group</x:v>
      </x:c>
      <x:c r="F114" s="8" t="str">
        <x:v>Hardware</x:v>
      </x:c>
      <x:c r="G114" s="8" t="str">
        <x:v>Laptop X</x:v>
      </x:c>
      <x:c r="H114" s="10" t="n">
        <x:v>8</x:v>
      </x:c>
      <x:c r="I114" s="11" t="n">
        <x:v>1500</x:v>
      </x:c>
      <x:c r="J114" s="12" t="n">
        <x:v>0</x:v>
      </x:c>
      <x:c r="K114" s="11" t="n">
        <x:f>H114*I114*(1-J114)</x:f>
        <x:v>12000</x:v>
      </x:c>
      <x:c r="L114" s="11" t="n">
        <x:f>H114*(I114*0.62)</x:f>
        <x:v>7440</x:v>
      </x:c>
      <x:c r="M114" s="11" t="n">
        <x:f>K114-L114</x:f>
        <x:v>4560</x:v>
      </x:c>
      <x:c r="N114" s="8" t="str">
        <x:v>Direct</x:v>
      </x:c>
      <x:c r="O114" s="8" t="str">
        <x:v>Credit Card</x:v>
      </x:c>
      <x:c r="P114" s="8" t="str">
        <x:v>Closed Won</x:v>
      </x:c>
    </x:row>
    <x:row r="115">
      <x:c r="A115" s="8" t="str">
        <x:v>ORD-2025114</x:v>
      </x:c>
      <x:c r="B115" s="9" t="n">
        <x:v>45934</x:v>
      </x:c>
      <x:c r="C115" s="8" t="str">
        <x:v>East</x:v>
      </x:c>
      <x:c r="D115" s="8" t="str">
        <x:v>Noah Davis</x:v>
      </x:c>
      <x:c r="E115" s="8" t="str">
        <x:v>Pioneer Co</x:v>
      </x:c>
      <x:c r="F115" s="8" t="str">
        <x:v>Hardware</x:v>
      </x:c>
      <x:c r="G115" s="8" t="str">
        <x:v>Tablet Air</x:v>
      </x:c>
      <x:c r="H115" s="10" t="n">
        <x:v>22</x:v>
      </x:c>
      <x:c r="I115" s="11" t="n">
        <x:v>820</x:v>
      </x:c>
      <x:c r="J115" s="12" t="n">
        <x:v>0.2</x:v>
      </x:c>
      <x:c r="K115" s="11" t="n">
        <x:f>H115*I115*(1-J115)</x:f>
        <x:v>14432</x:v>
      </x:c>
      <x:c r="L115" s="11" t="n">
        <x:f>H115*(I115*0.62)</x:f>
        <x:v>11184.8</x:v>
      </x:c>
      <x:c r="M115" s="11" t="n">
        <x:f>K115-L115</x:f>
        <x:v>3247.2000000000007</x:v>
      </x:c>
      <x:c r="N115" s="8" t="str">
        <x:v>Direct</x:v>
      </x:c>
      <x:c r="O115" s="8" t="str">
        <x:v>Bank Transfer</x:v>
      </x:c>
      <x:c r="P115" s="8" t="str">
        <x:v>Closed Won</x:v>
      </x:c>
    </x:row>
    <x:row r="116">
      <x:c r="A116" s="8" t="str">
        <x:v>ORD-2025115</x:v>
      </x:c>
      <x:c r="B116" s="9" t="n">
        <x:v>45666</x:v>
      </x:c>
      <x:c r="C116" s="8" t="str">
        <x:v>South</x:v>
      </x:c>
      <x:c r="D116" s="8" t="str">
        <x:v>Ethan Garcia</x:v>
      </x:c>
      <x:c r="E116" s="8" t="str">
        <x:v>Summit Co</x:v>
      </x:c>
      <x:c r="F116" s="8" t="str">
        <x:v>Hardware</x:v>
      </x:c>
      <x:c r="G116" s="8" t="str">
        <x:v>Dock Station</x:v>
      </x:c>
      <x:c r="H116" s="10" t="n">
        <x:v>5</x:v>
      </x:c>
      <x:c r="I116" s="11" t="n">
        <x:v>180</x:v>
      </x:c>
      <x:c r="J116" s="12" t="n">
        <x:v>0.15</x:v>
      </x:c>
      <x:c r="K116" s="11" t="n">
        <x:f>H116*I116*(1-J116)</x:f>
        <x:v>765</x:v>
      </x:c>
      <x:c r="L116" s="11" t="n">
        <x:f>H116*(I116*0.62)</x:f>
        <x:v>558</x:v>
      </x:c>
      <x:c r="M116" s="11" t="n">
        <x:f>K116-L116</x:f>
        <x:v>207</x:v>
      </x:c>
      <x:c r="N116" s="8" t="str">
        <x:v>Partner</x:v>
      </x:c>
      <x:c r="O116" s="8" t="str">
        <x:v>Credit Card</x:v>
      </x:c>
      <x:c r="P116" s="8" t="str">
        <x:v>Shipped</x:v>
      </x:c>
    </x:row>
    <x:row r="117">
      <x:c r="A117" s="8" t="str">
        <x:v>ORD-2025116</x:v>
      </x:c>
      <x:c r="B117" s="9" t="n">
        <x:v>45843</x:v>
      </x:c>
      <x:c r="C117" s="8" t="str">
        <x:v>Central</x:v>
      </x:c>
      <x:c r="D117" s="8" t="str">
        <x:v>Emma Martin</x:v>
      </x:c>
      <x:c r="E117" s="8" t="str">
        <x:v>Pioneer Inc</x:v>
      </x:c>
      <x:c r="F117" s="8" t="str">
        <x:v>Accessories</x:v>
      </x:c>
      <x:c r="G117" s="8" t="str">
        <x:v>Headset</x:v>
      </x:c>
      <x:c r="H117" s="10" t="n">
        <x:v>15</x:v>
      </x:c>
      <x:c r="I117" s="11" t="n">
        <x:v>85</x:v>
      </x:c>
      <x:c r="J117" s="12" t="n">
        <x:v>0.1</x:v>
      </x:c>
      <x:c r="K117" s="11" t="n">
        <x:f>H117*I117*(1-J117)</x:f>
        <x:v>1147.5</x:v>
      </x:c>
      <x:c r="L117" s="11" t="n">
        <x:f>H117*(I117*0.62)</x:f>
        <x:v>790.5</x:v>
      </x:c>
      <x:c r="M117" s="11" t="n">
        <x:f>K117-L117</x:f>
        <x:v>357</x:v>
      </x:c>
      <x:c r="N117" s="8" t="str">
        <x:v>Direct</x:v>
      </x:c>
      <x:c r="O117" s="8" t="str">
        <x:v>Credit Card</x:v>
      </x:c>
      <x:c r="P117" s="8" t="str">
        <x:v>Shipped</x:v>
      </x:c>
    </x:row>
    <x:row r="118">
      <x:c r="A118" s="8" t="str">
        <x:v>ORD-2025117</x:v>
      </x:c>
      <x:c r="B118" s="9" t="n">
        <x:v>45987</x:v>
      </x:c>
      <x:c r="C118" s="8" t="str">
        <x:v>North</x:v>
      </x:c>
      <x:c r="D118" s="8" t="str">
        <x:v>Ava Patel</x:v>
      </x:c>
      <x:c r="E118" s="8" t="str">
        <x:v>NorthStar Inc</x:v>
      </x:c>
      <x:c r="F118" s="8" t="str">
        <x:v>Services</x:v>
      </x:c>
      <x:c r="G118" s="8" t="str">
        <x:v>Consulting Day</x:v>
      </x:c>
      <x:c r="H118" s="10" t="n">
        <x:v>13</x:v>
      </x:c>
      <x:c r="I118" s="11" t="n">
        <x:v>1400</x:v>
      </x:c>
      <x:c r="J118" s="12" t="n">
        <x:v>0.05</x:v>
      </x:c>
      <x:c r="K118" s="11" t="n">
        <x:f>H118*I118*(1-J118)</x:f>
        <x:v>17290</x:v>
      </x:c>
      <x:c r="L118" s="11" t="n">
        <x:f>H118*(I118*0.62)</x:f>
        <x:v>11284</x:v>
      </x:c>
      <x:c r="M118" s="11" t="n">
        <x:f>K118-L118</x:f>
        <x:v>6006</x:v>
      </x:c>
      <x:c r="N118" s="8" t="str">
        <x:v>Online</x:v>
      </x:c>
      <x:c r="O118" s="8" t="str">
        <x:v>Credit Card</x:v>
      </x:c>
      <x:c r="P118" s="8" t="str">
        <x:v>Pending</x:v>
      </x:c>
    </x:row>
    <x:row r="119">
      <x:c r="A119" s="8" t="str">
        <x:v>ORD-2025118</x:v>
      </x:c>
      <x:c r="B119" s="9" t="n">
        <x:v>45699</x:v>
      </x:c>
      <x:c r="C119" s="8" t="str">
        <x:v>East</x:v>
      </x:c>
      <x:c r="D119" s="8" t="str">
        <x:v>Emma Martin</x:v>
      </x:c>
      <x:c r="E119" s="8" t="str">
        <x:v>Urban Co</x:v>
      </x:c>
      <x:c r="F119" s="8" t="str">
        <x:v>Accessories</x:v>
      </x:c>
      <x:c r="G119" s="8" t="str">
        <x:v>Wireless Mouse</x:v>
      </x:c>
      <x:c r="H119" s="10" t="n">
        <x:v>3</x:v>
      </x:c>
      <x:c r="I119" s="11" t="n">
        <x:v>40</x:v>
      </x:c>
      <x:c r="J119" s="12" t="n">
        <x:v>0</x:v>
      </x:c>
      <x:c r="K119" s="11" t="n">
        <x:f>H119*I119*(1-J119)</x:f>
        <x:v>120</x:v>
      </x:c>
      <x:c r="L119" s="11" t="n">
        <x:f>H119*(I119*0.62)</x:f>
        <x:v>74.4</x:v>
      </x:c>
      <x:c r="M119" s="11" t="n">
        <x:f>K119-L119</x:f>
        <x:v>45.599999999999994</x:v>
      </x:c>
      <x:c r="N119" s="8" t="str">
        <x:v>Partner</x:v>
      </x:c>
      <x:c r="O119" s="8" t="str">
        <x:v>Invoice</x:v>
      </x:c>
      <x:c r="P119" s="8" t="str">
        <x:v>Closed Won</x:v>
      </x:c>
    </x:row>
    <x:row r="120">
      <x:c r="A120" s="8" t="str">
        <x:v>ORD-2025119</x:v>
      </x:c>
      <x:c r="B120" s="9" t="n">
        <x:v>45916</x:v>
      </x:c>
      <x:c r="C120" s="8" t="str">
        <x:v>Central</x:v>
      </x:c>
      <x:c r="D120" s="8" t="str">
        <x:v>Lucas Brown</x:v>
      </x:c>
      <x:c r="E120" s="8" t="str">
        <x:v>Pioneer LLC</x:v>
      </x:c>
      <x:c r="F120" s="8" t="str">
        <x:v>Services</x:v>
      </x:c>
      <x:c r="G120" s="8" t="str">
        <x:v>Consulting Day</x:v>
      </x:c>
      <x:c r="H120" s="10" t="n">
        <x:v>23</x:v>
      </x:c>
      <x:c r="I120" s="11" t="n">
        <x:v>1400</x:v>
      </x:c>
      <x:c r="J120" s="12" t="n">
        <x:v>0</x:v>
      </x:c>
      <x:c r="K120" s="11" t="n">
        <x:f>H120*I120*(1-J120)</x:f>
        <x:v>32200</x:v>
      </x:c>
      <x:c r="L120" s="11" t="n">
        <x:f>H120*(I120*0.62)</x:f>
        <x:v>19964</x:v>
      </x:c>
      <x:c r="M120" s="11" t="n">
        <x:f>K120-L120</x:f>
        <x:v>12236</x:v>
      </x:c>
      <x:c r="N120" s="8" t="str">
        <x:v>Online</x:v>
      </x:c>
      <x:c r="O120" s="8" t="str">
        <x:v>Bank Transfer</x:v>
      </x:c>
      <x:c r="P120" s="8" t="str">
        <x:v>Closed Won</x:v>
      </x:c>
    </x:row>
    <x:row r="121">
      <x:c r="A121" s="8" t="str">
        <x:v>ORD-2025120</x:v>
      </x:c>
      <x:c r="B121" s="9" t="n">
        <x:v>45831</x:v>
      </x:c>
      <x:c r="C121" s="8" t="str">
        <x:v>West</x:v>
      </x:c>
      <x:c r="D121" s="8" t="str">
        <x:v>Lucas Brown</x:v>
      </x:c>
      <x:c r="E121" s="8" t="str">
        <x:v>RedStone Inc</x:v>
      </x:c>
      <x:c r="F121" s="8" t="str">
        <x:v>Hardware</x:v>
      </x:c>
      <x:c r="G121" s="8" t="str">
        <x:v>Monitor 27</x:v>
      </x:c>
      <x:c r="H121" s="10" t="n">
        <x:v>24</x:v>
      </x:c>
      <x:c r="I121" s="11" t="n">
        <x:v>320</x:v>
      </x:c>
      <x:c r="J121" s="12" t="n">
        <x:v>0</x:v>
      </x:c>
      <x:c r="K121" s="11" t="n">
        <x:f>H121*I121*(1-J121)</x:f>
        <x:v>7680</x:v>
      </x:c>
      <x:c r="L121" s="11" t="n">
        <x:f>H121*(I121*0.62)</x:f>
        <x:v>4761.6</x:v>
      </x:c>
      <x:c r="M121" s="11" t="n">
        <x:f>K121-L121</x:f>
        <x:v>2918.3999999999996</x:v>
      </x:c>
      <x:c r="N121" s="8" t="str">
        <x:v>Partner</x:v>
      </x:c>
      <x:c r="O121" s="8" t="str">
        <x:v>PayPal</x:v>
      </x:c>
      <x:c r="P121" s="8" t="str">
        <x:v>Closed Won</x:v>
      </x:c>
    </x:row>
    <x:row r="122">
      <x:c r="A122" s="8" t="str">
        <x:v>ORD-2025121</x:v>
      </x:c>
      <x:c r="B122" s="9" t="n">
        <x:v>45736</x:v>
      </x:c>
      <x:c r="C122" s="8" t="str">
        <x:v>West</x:v>
      </x:c>
      <x:c r="D122" s="8" t="str">
        <x:v>Liam Chen</x:v>
      </x:c>
      <x:c r="E122" s="8" t="str">
        <x:v>BlueSky Group</x:v>
      </x:c>
      <x:c r="F122" s="8" t="str">
        <x:v>Services</x:v>
      </x:c>
      <x:c r="G122" s="8" t="str">
        <x:v>Support Plus</x:v>
      </x:c>
      <x:c r="H122" s="10" t="n">
        <x:v>3</x:v>
      </x:c>
      <x:c r="I122" s="11" t="n">
        <x:v>650</x:v>
      </x:c>
      <x:c r="J122" s="12" t="n">
        <x:v>0</x:v>
      </x:c>
      <x:c r="K122" s="11" t="n">
        <x:f>H122*I122*(1-J122)</x:f>
        <x:v>1950</x:v>
      </x:c>
      <x:c r="L122" s="11" t="n">
        <x:f>H122*(I122*0.62)</x:f>
        <x:v>1209</x:v>
      </x:c>
      <x:c r="M122" s="11" t="n">
        <x:f>K122-L122</x:f>
        <x:v>741</x:v>
      </x:c>
      <x:c r="N122" s="8" t="str">
        <x:v>Partner</x:v>
      </x:c>
      <x:c r="O122" s="8" t="str">
        <x:v>Credit Card</x:v>
      </x:c>
      <x:c r="P122" s="8" t="str">
        <x:v>Shipped</x:v>
      </x:c>
    </x:row>
    <x:row r="123">
      <x:c r="A123" s="8" t="str">
        <x:v>ORD-2025122</x:v>
      </x:c>
      <x:c r="B123" s="9" t="n">
        <x:v>45942</x:v>
      </x:c>
      <x:c r="C123" s="8" t="str">
        <x:v>North</x:v>
      </x:c>
      <x:c r="D123" s="8" t="str">
        <x:v>Emma Martin</x:v>
      </x:c>
      <x:c r="E123" s="8" t="str">
        <x:v>Maple Group</x:v>
      </x:c>
      <x:c r="F123" s="8" t="str">
        <x:v>Services</x:v>
      </x:c>
      <x:c r="G123" s="8" t="str">
        <x:v>Training</x:v>
      </x:c>
      <x:c r="H123" s="10" t="n">
        <x:v>18</x:v>
      </x:c>
      <x:c r="I123" s="11" t="n">
        <x:v>900</x:v>
      </x:c>
      <x:c r="J123" s="12" t="n">
        <x:v>0</x:v>
      </x:c>
      <x:c r="K123" s="11" t="n">
        <x:f>H123*I123*(1-J123)</x:f>
        <x:v>16200</x:v>
      </x:c>
      <x:c r="L123" s="11" t="n">
        <x:f>H123*(I123*0.62)</x:f>
        <x:v>10044</x:v>
      </x:c>
      <x:c r="M123" s="11" t="n">
        <x:f>K123-L123</x:f>
        <x:v>6156</x:v>
      </x:c>
      <x:c r="N123" s="8" t="str">
        <x:v>Online</x:v>
      </x:c>
      <x:c r="O123" s="8" t="str">
        <x:v>Credit Card</x:v>
      </x:c>
      <x:c r="P123" s="8" t="str">
        <x:v>Closed Won</x:v>
      </x:c>
    </x:row>
    <x:row r="124">
      <x:c r="A124" s="8" t="str">
        <x:v>ORD-2025123</x:v>
      </x:c>
      <x:c r="B124" s="9" t="n">
        <x:v>45805</x:v>
      </x:c>
      <x:c r="C124" s="8" t="str">
        <x:v>Central</x:v>
      </x:c>
      <x:c r="D124" s="8" t="str">
        <x:v>Ethan Garcia</x:v>
      </x:c>
      <x:c r="E124" s="8" t="str">
        <x:v>Harbor Inc</x:v>
      </x:c>
      <x:c r="F124" s="8" t="str">
        <x:v>Accessories</x:v>
      </x:c>
      <x:c r="G124" s="8" t="str">
        <x:v>Wireless Mouse</x:v>
      </x:c>
      <x:c r="H124" s="10" t="n">
        <x:v>4</x:v>
      </x:c>
      <x:c r="I124" s="11" t="n">
        <x:v>40</x:v>
      </x:c>
      <x:c r="J124" s="12" t="n">
        <x:v>0.1</x:v>
      </x:c>
      <x:c r="K124" s="11" t="n">
        <x:f>H124*I124*(1-J124)</x:f>
        <x:v>144</x:v>
      </x:c>
      <x:c r="L124" s="11" t="n">
        <x:f>H124*(I124*0.62)</x:f>
        <x:v>99.2</x:v>
      </x:c>
      <x:c r="M124" s="11" t="n">
        <x:f>K124-L124</x:f>
        <x:v>44.8</x:v>
      </x:c>
      <x:c r="N124" s="8" t="str">
        <x:v>Online</x:v>
      </x:c>
      <x:c r="O124" s="8" t="str">
        <x:v>Bank Transfer</x:v>
      </x:c>
      <x:c r="P124" s="8" t="str">
        <x:v>Closed Won</x:v>
      </x:c>
    </x:row>
    <x:row r="125">
      <x:c r="A125" s="8" t="str">
        <x:v>ORD-2025124</x:v>
      </x:c>
      <x:c r="B125" s="9" t="n">
        <x:v>45713</x:v>
      </x:c>
      <x:c r="C125" s="8" t="str">
        <x:v>East</x:v>
      </x:c>
      <x:c r="D125" s="8" t="str">
        <x:v>Mason Lee</x:v>
      </x:c>
      <x:c r="E125" s="8" t="str">
        <x:v>Harbor Group</x:v>
      </x:c>
      <x:c r="F125" s="8" t="str">
        <x:v>Accessories</x:v>
      </x:c>
      <x:c r="G125" s="8" t="str">
        <x:v>Keyboard Pro</x:v>
      </x:c>
      <x:c r="H125" s="10" t="n">
        <x:v>4</x:v>
      </x:c>
      <x:c r="I125" s="11" t="n">
        <x:v>95</x:v>
      </x:c>
      <x:c r="J125" s="12" t="n">
        <x:v>0.2</x:v>
      </x:c>
      <x:c r="K125" s="11" t="n">
        <x:f>H125*I125*(1-J125)</x:f>
        <x:v>304</x:v>
      </x:c>
      <x:c r="L125" s="11" t="n">
        <x:f>H125*(I125*0.62)</x:f>
        <x:v>235.6</x:v>
      </x:c>
      <x:c r="M125" s="11" t="n">
        <x:f>K125-L125</x:f>
        <x:v>68.4</x:v>
      </x:c>
      <x:c r="N125" s="8" t="str">
        <x:v>Partner</x:v>
      </x:c>
      <x:c r="O125" s="8" t="str">
        <x:v>Bank Transfer</x:v>
      </x:c>
      <x:c r="P125" s="8" t="str">
        <x:v>Returned</x:v>
      </x:c>
    </x:row>
    <x:row r="126">
      <x:c r="A126" s="8" t="str">
        <x:v>ORD-2025125</x:v>
      </x:c>
      <x:c r="B126" s="9" t="n">
        <x:v>45672</x:v>
      </x:c>
      <x:c r="C126" s="8" t="str">
        <x:v>South</x:v>
      </x:c>
      <x:c r="D126" s="8" t="str">
        <x:v>Ethan Garcia</x:v>
      </x:c>
      <x:c r="E126" s="8" t="str">
        <x:v>Vertex Group</x:v>
      </x:c>
      <x:c r="F126" s="8" t="str">
        <x:v>Software</x:v>
      </x:c>
      <x:c r="G126" s="8" t="str">
        <x:v>HR Suite</x:v>
      </x:c>
      <x:c r="H126" s="10" t="n">
        <x:v>11</x:v>
      </x:c>
      <x:c r="I126" s="11" t="n">
        <x:v>950</x:v>
      </x:c>
      <x:c r="J126" s="12" t="n">
        <x:v>0</x:v>
      </x:c>
      <x:c r="K126" s="11" t="n">
        <x:f>H126*I126*(1-J126)</x:f>
        <x:v>10450</x:v>
      </x:c>
      <x:c r="L126" s="11" t="n">
        <x:f>H126*(I126*0.62)</x:f>
        <x:v>6479</x:v>
      </x:c>
      <x:c r="M126" s="11" t="n">
        <x:f>K126-L126</x:f>
        <x:v>3971</x:v>
      </x:c>
      <x:c r="N126" s="8" t="str">
        <x:v>Direct</x:v>
      </x:c>
      <x:c r="O126" s="8" t="str">
        <x:v>Bank Transfer</x:v>
      </x:c>
      <x:c r="P126" s="8" t="str">
        <x:v>Returned</x:v>
      </x:c>
    </x:row>
    <x:row r="127">
      <x:c r="A127" s="8" t="str">
        <x:v>ORD-2025126</x:v>
      </x:c>
      <x:c r="B127" s="9" t="n">
        <x:v>45730</x:v>
      </x:c>
      <x:c r="C127" s="8" t="str">
        <x:v>North</x:v>
      </x:c>
      <x:c r="D127" s="8" t="str">
        <x:v>Liam Chen</x:v>
      </x:c>
      <x:c r="E127" s="8" t="str">
        <x:v>Southridge Group</x:v>
      </x:c>
      <x:c r="F127" s="8" t="str">
        <x:v>Accessories</x:v>
      </x:c>
      <x:c r="G127" s="8" t="str">
        <x:v>Wireless Mouse</x:v>
      </x:c>
      <x:c r="H127" s="10" t="n">
        <x:v>7</x:v>
      </x:c>
      <x:c r="I127" s="11" t="n">
        <x:v>40</x:v>
      </x:c>
      <x:c r="J127" s="12" t="n">
        <x:v>0.05</x:v>
      </x:c>
      <x:c r="K127" s="11" t="n">
        <x:f>H127*I127*(1-J127)</x:f>
        <x:v>266</x:v>
      </x:c>
      <x:c r="L127" s="11" t="n">
        <x:f>H127*(I127*0.62)</x:f>
        <x:v>173.6</x:v>
      </x:c>
      <x:c r="M127" s="11" t="n">
        <x:f>K127-L127</x:f>
        <x:v>92.4</x:v>
      </x:c>
      <x:c r="N127" s="8" t="str">
        <x:v>Partner</x:v>
      </x:c>
      <x:c r="O127" s="8" t="str">
        <x:v>PayPal</x:v>
      </x:c>
      <x:c r="P127" s="8" t="str">
        <x:v>Closed Won</x:v>
      </x:c>
    </x:row>
    <x:row r="128">
      <x:c r="A128" s="8" t="str">
        <x:v>ORD-2025127</x:v>
      </x:c>
      <x:c r="B128" s="9" t="n">
        <x:v>45824</x:v>
      </x:c>
      <x:c r="C128" s="8" t="str">
        <x:v>Central</x:v>
      </x:c>
      <x:c r="D128" s="8" t="str">
        <x:v>Emma Martin</x:v>
      </x:c>
      <x:c r="E128" s="8" t="str">
        <x:v>BlueSky Co</x:v>
      </x:c>
      <x:c r="F128" s="8" t="str">
        <x:v>Services</x:v>
      </x:c>
      <x:c r="G128" s="8" t="str">
        <x:v>Support Plus</x:v>
      </x:c>
      <x:c r="H128" s="10" t="n">
        <x:v>2</x:v>
      </x:c>
      <x:c r="I128" s="11" t="n">
        <x:v>650</x:v>
      </x:c>
      <x:c r="J128" s="12" t="n">
        <x:v>0</x:v>
      </x:c>
      <x:c r="K128" s="11" t="n">
        <x:f>H128*I128*(1-J128)</x:f>
        <x:v>1300</x:v>
      </x:c>
      <x:c r="L128" s="11" t="n">
        <x:f>H128*(I128*0.62)</x:f>
        <x:v>806</x:v>
      </x:c>
      <x:c r="M128" s="11" t="n">
        <x:f>K128-L128</x:f>
        <x:v>494</x:v>
      </x:c>
      <x:c r="N128" s="8" t="str">
        <x:v>Direct</x:v>
      </x:c>
      <x:c r="O128" s="8" t="str">
        <x:v>Credit Card</x:v>
      </x:c>
      <x:c r="P128" s="8" t="str">
        <x:v>Shipped</x:v>
      </x:c>
    </x:row>
    <x:row r="129">
      <x:c r="A129" s="8" t="str">
        <x:v>ORD-2025128</x:v>
      </x:c>
      <x:c r="B129" s="9" t="n">
        <x:v>45996</x:v>
      </x:c>
      <x:c r="C129" s="8" t="str">
        <x:v>West</x:v>
      </x:c>
      <x:c r="D129" s="8" t="str">
        <x:v>Olivia Wilson</x:v>
      </x:c>
      <x:c r="E129" s="8" t="str">
        <x:v>Nova Inc</x:v>
      </x:c>
      <x:c r="F129" s="8" t="str">
        <x:v>Services</x:v>
      </x:c>
      <x:c r="G129" s="8" t="str">
        <x:v>Consulting Day</x:v>
      </x:c>
      <x:c r="H129" s="10" t="n">
        <x:v>15</x:v>
      </x:c>
      <x:c r="I129" s="11" t="n">
        <x:v>1400</x:v>
      </x:c>
      <x:c r="J129" s="12" t="n">
        <x:v>0.05</x:v>
      </x:c>
      <x:c r="K129" s="11" t="n">
        <x:f>H129*I129*(1-J129)</x:f>
        <x:v>19950</x:v>
      </x:c>
      <x:c r="L129" s="11" t="n">
        <x:f>H129*(I129*0.62)</x:f>
        <x:v>13020</x:v>
      </x:c>
      <x:c r="M129" s="11" t="n">
        <x:f>K129-L129</x:f>
        <x:v>6930</x:v>
      </x:c>
      <x:c r="N129" s="8" t="str">
        <x:v>Partner</x:v>
      </x:c>
      <x:c r="O129" s="8" t="str">
        <x:v>Bank Transfer</x:v>
      </x:c>
      <x:c r="P129" s="8" t="str">
        <x:v>Shipped</x:v>
      </x:c>
    </x:row>
    <x:row r="130">
      <x:c r="A130" s="8" t="str">
        <x:v>ORD-2025129</x:v>
      </x:c>
      <x:c r="B130" s="9" t="n">
        <x:v>45878</x:v>
      </x:c>
      <x:c r="C130" s="8" t="str">
        <x:v>North</x:v>
      </x:c>
      <x:c r="D130" s="8" t="str">
        <x:v>Ethan Garcia</x:v>
      </x:c>
      <x:c r="E130" s="8" t="str">
        <x:v>Ironwood Group</x:v>
      </x:c>
      <x:c r="F130" s="8" t="str">
        <x:v>Software</x:v>
      </x:c>
      <x:c r="G130" s="8" t="str">
        <x:v>HR Suite</x:v>
      </x:c>
      <x:c r="H130" s="10" t="n">
        <x:v>16</x:v>
      </x:c>
      <x:c r="I130" s="11" t="n">
        <x:v>950</x:v>
      </x:c>
      <x:c r="J130" s="12" t="n">
        <x:v>0.1</x:v>
      </x:c>
      <x:c r="K130" s="11" t="n">
        <x:f>H130*I130*(1-J130)</x:f>
        <x:v>13680</x:v>
      </x:c>
      <x:c r="L130" s="11" t="n">
        <x:f>H130*(I130*0.62)</x:f>
        <x:v>9424</x:v>
      </x:c>
      <x:c r="M130" s="11" t="n">
        <x:f>K130-L130</x:f>
        <x:v>4256</x:v>
      </x:c>
      <x:c r="N130" s="8" t="str">
        <x:v>Online</x:v>
      </x:c>
      <x:c r="O130" s="8" t="str">
        <x:v>Invoice</x:v>
      </x:c>
      <x:c r="P130" s="8" t="str">
        <x:v>Closed Won</x:v>
      </x:c>
    </x:row>
    <x:row r="131">
      <x:c r="A131" s="8" t="str">
        <x:v>ORD-2025130</x:v>
      </x:c>
      <x:c r="B131" s="9" t="n">
        <x:v>45661</x:v>
      </x:c>
      <x:c r="C131" s="8" t="str">
        <x:v>South</x:v>
      </x:c>
      <x:c r="D131" s="8" t="str">
        <x:v>Ethan Garcia</x:v>
      </x:c>
      <x:c r="E131" s="8" t="str">
        <x:v>Nexus Group</x:v>
      </x:c>
      <x:c r="F131" s="8" t="str">
        <x:v>Accessories</x:v>
      </x:c>
      <x:c r="G131" s="8" t="str">
        <x:v>Wireless Mouse</x:v>
      </x:c>
      <x:c r="H131" s="10" t="n">
        <x:v>25</x:v>
      </x:c>
      <x:c r="I131" s="11" t="n">
        <x:v>40</x:v>
      </x:c>
      <x:c r="J131" s="12" t="n">
        <x:v>0</x:v>
      </x:c>
      <x:c r="K131" s="11" t="n">
        <x:f>H131*I131*(1-J131)</x:f>
        <x:v>1000</x:v>
      </x:c>
      <x:c r="L131" s="11" t="n">
        <x:f>H131*(I131*0.62)</x:f>
        <x:v>620</x:v>
      </x:c>
      <x:c r="M131" s="11" t="n">
        <x:f>K131-L131</x:f>
        <x:v>380</x:v>
      </x:c>
      <x:c r="N131" s="8" t="str">
        <x:v>Partner</x:v>
      </x:c>
      <x:c r="O131" s="8" t="str">
        <x:v>Invoice</x:v>
      </x:c>
      <x:c r="P131" s="8" t="str">
        <x:v>Closed Won</x:v>
      </x:c>
    </x:row>
    <x:row r="132">
      <x:c r="A132" s="8" t="str">
        <x:v>ORD-2025131</x:v>
      </x:c>
      <x:c r="B132" s="9" t="n">
        <x:v>45878</x:v>
      </x:c>
      <x:c r="C132" s="8" t="str">
        <x:v>South</x:v>
      </x:c>
      <x:c r="D132" s="8" t="str">
        <x:v>Noah Davis</x:v>
      </x:c>
      <x:c r="E132" s="8" t="str">
        <x:v>SilverLine LLC</x:v>
      </x:c>
      <x:c r="F132" s="8" t="str">
        <x:v>Software</x:v>
      </x:c>
      <x:c r="G132" s="8" t="str">
        <x:v>ProjectFlow</x:v>
      </x:c>
      <x:c r="H132" s="10" t="n">
        <x:v>18</x:v>
      </x:c>
      <x:c r="I132" s="11" t="n">
        <x:v>700</x:v>
      </x:c>
      <x:c r="J132" s="12" t="n">
        <x:v>0.15</x:v>
      </x:c>
      <x:c r="K132" s="11" t="n">
        <x:f>H132*I132*(1-J132)</x:f>
        <x:v>10710</x:v>
      </x:c>
      <x:c r="L132" s="11" t="n">
        <x:f>H132*(I132*0.62)</x:f>
        <x:v>7812</x:v>
      </x:c>
      <x:c r="M132" s="11" t="n">
        <x:f>K132-L132</x:f>
        <x:v>2898</x:v>
      </x:c>
      <x:c r="N132" s="8" t="str">
        <x:v>Direct</x:v>
      </x:c>
      <x:c r="O132" s="8" t="str">
        <x:v>Invoice</x:v>
      </x:c>
      <x:c r="P132" s="8" t="str">
        <x:v>Closed Won</x:v>
      </x:c>
    </x:row>
    <x:row r="133">
      <x:c r="A133" s="8" t="str">
        <x:v>ORD-2025132</x:v>
      </x:c>
      <x:c r="B133" s="9" t="n">
        <x:v>45667</x:v>
      </x:c>
      <x:c r="C133" s="8" t="str">
        <x:v>West</x:v>
      </x:c>
      <x:c r="D133" s="8" t="str">
        <x:v>Liam Chen</x:v>
      </x:c>
      <x:c r="E133" s="8" t="str">
        <x:v>BrightPath LLC</x:v>
      </x:c>
      <x:c r="F133" s="8" t="str">
        <x:v>Software</x:v>
      </x:c>
      <x:c r="G133" s="8" t="str">
        <x:v>ProjectFlow</x:v>
      </x:c>
      <x:c r="H133" s="10" t="n">
        <x:v>19</x:v>
      </x:c>
      <x:c r="I133" s="11" t="n">
        <x:v>700</x:v>
      </x:c>
      <x:c r="J133" s="12" t="n">
        <x:v>0.05</x:v>
      </x:c>
      <x:c r="K133" s="11" t="n">
        <x:f>H133*I133*(1-J133)</x:f>
        <x:v>12635</x:v>
      </x:c>
      <x:c r="L133" s="11" t="n">
        <x:f>H133*(I133*0.62)</x:f>
        <x:v>8246</x:v>
      </x:c>
      <x:c r="M133" s="11" t="n">
        <x:f>K133-L133</x:f>
        <x:v>4389</x:v>
      </x:c>
      <x:c r="N133" s="8" t="str">
        <x:v>Online</x:v>
      </x:c>
      <x:c r="O133" s="8" t="str">
        <x:v>PayPal</x:v>
      </x:c>
      <x:c r="P133" s="8" t="str">
        <x:v>Shipped</x:v>
      </x:c>
    </x:row>
    <x:row r="134">
      <x:c r="A134" s="8" t="str">
        <x:v>ORD-2025133</x:v>
      </x:c>
      <x:c r="B134" s="9" t="n">
        <x:v>45716</x:v>
      </x:c>
      <x:c r="C134" s="8" t="str">
        <x:v>West</x:v>
      </x:c>
      <x:c r="D134" s="8" t="str">
        <x:v>Ava Patel</x:v>
      </x:c>
      <x:c r="E134" s="8" t="str">
        <x:v>BrightPath Inc</x:v>
      </x:c>
      <x:c r="F134" s="8" t="str">
        <x:v>Accessories</x:v>
      </x:c>
      <x:c r="G134" s="8" t="str">
        <x:v>Webcam HD</x:v>
      </x:c>
      <x:c r="H134" s="10" t="n">
        <x:v>6</x:v>
      </x:c>
      <x:c r="I134" s="11" t="n">
        <x:v>110</x:v>
      </x:c>
      <x:c r="J134" s="12" t="n">
        <x:v>0.2</x:v>
      </x:c>
      <x:c r="K134" s="11" t="n">
        <x:f>H134*I134*(1-J134)</x:f>
        <x:v>528</x:v>
      </x:c>
      <x:c r="L134" s="11" t="n">
        <x:f>H134*(I134*0.62)</x:f>
        <x:v>409.20000000000005</x:v>
      </x:c>
      <x:c r="M134" s="11" t="n">
        <x:f>K134-L134</x:f>
        <x:v>118.79999999999995</x:v>
      </x:c>
      <x:c r="N134" s="8" t="str">
        <x:v>Online</x:v>
      </x:c>
      <x:c r="O134" s="8" t="str">
        <x:v>PayPal</x:v>
      </x:c>
      <x:c r="P134" s="8" t="str">
        <x:v>Returned</x:v>
      </x:c>
    </x:row>
    <x:row r="135">
      <x:c r="A135" s="8" t="str">
        <x:v>ORD-2025134</x:v>
      </x:c>
      <x:c r="B135" s="9" t="n">
        <x:v>45881</x:v>
      </x:c>
      <x:c r="C135" s="8" t="str">
        <x:v>North</x:v>
      </x:c>
      <x:c r="D135" s="8" t="str">
        <x:v>Mia Johnson</x:v>
      </x:c>
      <x:c r="E135" s="8" t="str">
        <x:v>RedStone Group</x:v>
      </x:c>
      <x:c r="F135" s="8" t="str">
        <x:v>Services</x:v>
      </x:c>
      <x:c r="G135" s="8" t="str">
        <x:v>Implementation</x:v>
      </x:c>
      <x:c r="H135" s="10" t="n">
        <x:v>19</x:v>
      </x:c>
      <x:c r="I135" s="11" t="n">
        <x:v>2500</x:v>
      </x:c>
      <x:c r="J135" s="12" t="n">
        <x:v>0.05</x:v>
      </x:c>
      <x:c r="K135" s="11" t="n">
        <x:f>H135*I135*(1-J135)</x:f>
        <x:v>45125</x:v>
      </x:c>
      <x:c r="L135" s="11" t="n">
        <x:f>H135*(I135*0.62)</x:f>
        <x:v>29450</x:v>
      </x:c>
      <x:c r="M135" s="11" t="n">
        <x:f>K135-L135</x:f>
        <x:v>15675</x:v>
      </x:c>
      <x:c r="N135" s="8" t="str">
        <x:v>Online</x:v>
      </x:c>
      <x:c r="O135" s="8" t="str">
        <x:v>Credit Card</x:v>
      </x:c>
      <x:c r="P135" s="8" t="str">
        <x:v>Closed Won</x:v>
      </x:c>
    </x:row>
    <x:row r="136">
      <x:c r="A136" s="8" t="str">
        <x:v>ORD-2025135</x:v>
      </x:c>
      <x:c r="B136" s="9" t="n">
        <x:v>45771</x:v>
      </x:c>
      <x:c r="C136" s="8" t="str">
        <x:v>East</x:v>
      </x:c>
      <x:c r="D136" s="8" t="str">
        <x:v>Noah Davis</x:v>
      </x:c>
      <x:c r="E136" s="8" t="str">
        <x:v>BlueSky Inc</x:v>
      </x:c>
      <x:c r="F136" s="8" t="str">
        <x:v>Services</x:v>
      </x:c>
      <x:c r="G136" s="8" t="str">
        <x:v>Support Plus</x:v>
      </x:c>
      <x:c r="H136" s="10" t="n">
        <x:v>17</x:v>
      </x:c>
      <x:c r="I136" s="11" t="n">
        <x:v>650</x:v>
      </x:c>
      <x:c r="J136" s="12" t="n">
        <x:v>0.15</x:v>
      </x:c>
      <x:c r="K136" s="11" t="n">
        <x:f>H136*I136*(1-J136)</x:f>
        <x:v>9392.5</x:v>
      </x:c>
      <x:c r="L136" s="11" t="n">
        <x:f>H136*(I136*0.62)</x:f>
        <x:v>6851</x:v>
      </x:c>
      <x:c r="M136" s="11" t="n">
        <x:f>K136-L136</x:f>
        <x:v>2541.5</x:v>
      </x:c>
      <x:c r="N136" s="8" t="str">
        <x:v>Direct</x:v>
      </x:c>
      <x:c r="O136" s="8" t="str">
        <x:v>Bank Transfer</x:v>
      </x:c>
      <x:c r="P136" s="8" t="str">
        <x:v>Cancelled</x:v>
      </x:c>
    </x:row>
    <x:row r="137">
      <x:c r="A137" s="8" t="str">
        <x:v>ORD-2025136</x:v>
      </x:c>
      <x:c r="B137" s="9" t="n">
        <x:v>45988</x:v>
      </x:c>
      <x:c r="C137" s="8" t="str">
        <x:v>South</x:v>
      </x:c>
      <x:c r="D137" s="8" t="str">
        <x:v>Mia Johnson</x:v>
      </x:c>
      <x:c r="E137" s="8" t="str">
        <x:v>Pioneer Inc</x:v>
      </x:c>
      <x:c r="F137" s="8" t="str">
        <x:v>Services</x:v>
      </x:c>
      <x:c r="G137" s="8" t="str">
        <x:v>Support Plus</x:v>
      </x:c>
      <x:c r="H137" s="10" t="n">
        <x:v>5</x:v>
      </x:c>
      <x:c r="I137" s="11" t="n">
        <x:v>650</x:v>
      </x:c>
      <x:c r="J137" s="12" t="n">
        <x:v>0</x:v>
      </x:c>
      <x:c r="K137" s="11" t="n">
        <x:f>H137*I137*(1-J137)</x:f>
        <x:v>3250</x:v>
      </x:c>
      <x:c r="L137" s="11" t="n">
        <x:f>H137*(I137*0.62)</x:f>
        <x:v>2015</x:v>
      </x:c>
      <x:c r="M137" s="11" t="n">
        <x:f>K137-L137</x:f>
        <x:v>1235</x:v>
      </x:c>
      <x:c r="N137" s="8" t="str">
        <x:v>Direct</x:v>
      </x:c>
      <x:c r="O137" s="8" t="str">
        <x:v>Bank Transfer</x:v>
      </x:c>
      <x:c r="P137" s="8" t="str">
        <x:v>Shipped</x:v>
      </x:c>
    </x:row>
    <x:row r="138">
      <x:c r="A138" s="8" t="str">
        <x:v>ORD-2025137</x:v>
      </x:c>
      <x:c r="B138" s="9" t="n">
        <x:v>45979</x:v>
      </x:c>
      <x:c r="C138" s="8" t="str">
        <x:v>West</x:v>
      </x:c>
      <x:c r="D138" s="8" t="str">
        <x:v>Olivia Wilson</x:v>
      </x:c>
      <x:c r="E138" s="8" t="str">
        <x:v>Ironwood LLC</x:v>
      </x:c>
      <x:c r="F138" s="8" t="str">
        <x:v>Software</x:v>
      </x:c>
      <x:c r="G138" s="8" t="str">
        <x:v>Analytics Cloud</x:v>
      </x:c>
      <x:c r="H138" s="10" t="n">
        <x:v>25</x:v>
      </x:c>
      <x:c r="I138" s="11" t="n">
        <x:v>1800</x:v>
      </x:c>
      <x:c r="J138" s="12" t="n">
        <x:v>0.1</x:v>
      </x:c>
      <x:c r="K138" s="11" t="n">
        <x:f>H138*I138*(1-J138)</x:f>
        <x:v>40500</x:v>
      </x:c>
      <x:c r="L138" s="11" t="n">
        <x:f>H138*(I138*0.62)</x:f>
        <x:v>27900</x:v>
      </x:c>
      <x:c r="M138" s="11" t="n">
        <x:f>K138-L138</x:f>
        <x:v>12600</x:v>
      </x:c>
      <x:c r="N138" s="8" t="str">
        <x:v>Partner</x:v>
      </x:c>
      <x:c r="O138" s="8" t="str">
        <x:v>Invoice</x:v>
      </x:c>
      <x:c r="P138" s="8" t="str">
        <x:v>Returned</x:v>
      </x:c>
    </x:row>
    <x:row r="139">
      <x:c r="A139" s="8" t="str">
        <x:v>ORD-2025138</x:v>
      </x:c>
      <x:c r="B139" s="9" t="n">
        <x:v>45883</x:v>
      </x:c>
      <x:c r="C139" s="8" t="str">
        <x:v>North</x:v>
      </x:c>
      <x:c r="D139" s="8" t="str">
        <x:v>Olivia Wilson</x:v>
      </x:c>
      <x:c r="E139" s="8" t="str">
        <x:v>GoldenGate LLC</x:v>
      </x:c>
      <x:c r="F139" s="8" t="str">
        <x:v>Services</x:v>
      </x:c>
      <x:c r="G139" s="8" t="str">
        <x:v>Training</x:v>
      </x:c>
      <x:c r="H139" s="10" t="n">
        <x:v>21</x:v>
      </x:c>
      <x:c r="I139" s="11" t="n">
        <x:v>900</x:v>
      </x:c>
      <x:c r="J139" s="12" t="n">
        <x:v>0</x:v>
      </x:c>
      <x:c r="K139" s="11" t="n">
        <x:f>H139*I139*(1-J139)</x:f>
        <x:v>18900</x:v>
      </x:c>
      <x:c r="L139" s="11" t="n">
        <x:f>H139*(I139*0.62)</x:f>
        <x:v>11718</x:v>
      </x:c>
      <x:c r="M139" s="11" t="n">
        <x:f>K139-L139</x:f>
        <x:v>7182</x:v>
      </x:c>
      <x:c r="N139" s="8" t="str">
        <x:v>Partner</x:v>
      </x:c>
      <x:c r="O139" s="8" t="str">
        <x:v>Credit Card</x:v>
      </x:c>
      <x:c r="P139" s="8" t="str">
        <x:v>Closed Won</x:v>
      </x:c>
    </x:row>
    <x:row r="140">
      <x:c r="A140" s="8" t="str">
        <x:v>ORD-2025139</x:v>
      </x:c>
      <x:c r="B140" s="9" t="n">
        <x:v>45894</x:v>
      </x:c>
      <x:c r="C140" s="8" t="str">
        <x:v>West</x:v>
      </x:c>
      <x:c r="D140" s="8" t="str">
        <x:v>Ava Patel</x:v>
      </x:c>
      <x:c r="E140" s="8" t="str">
        <x:v>Summit Group</x:v>
      </x:c>
      <x:c r="F140" s="8" t="str">
        <x:v>Software</x:v>
      </x:c>
      <x:c r="G140" s="8" t="str">
        <x:v>HR Suite</x:v>
      </x:c>
      <x:c r="H140" s="10" t="n">
        <x:v>12</x:v>
      </x:c>
      <x:c r="I140" s="11" t="n">
        <x:v>950</x:v>
      </x:c>
      <x:c r="J140" s="12" t="n">
        <x:v>0.2</x:v>
      </x:c>
      <x:c r="K140" s="11" t="n">
        <x:f>H140*I140*(1-J140)</x:f>
        <x:v>9120</x:v>
      </x:c>
      <x:c r="L140" s="11" t="n">
        <x:f>H140*(I140*0.62)</x:f>
        <x:v>7068</x:v>
      </x:c>
      <x:c r="M140" s="11" t="n">
        <x:f>K140-L140</x:f>
        <x:v>2052</x:v>
      </x:c>
      <x:c r="N140" s="8" t="str">
        <x:v>Partner</x:v>
      </x:c>
      <x:c r="O140" s="8" t="str">
        <x:v>Credit Card</x:v>
      </x:c>
      <x:c r="P140" s="8" t="str">
        <x:v>Shipped</x:v>
      </x:c>
    </x:row>
    <x:row r="141">
      <x:c r="A141" s="8" t="str">
        <x:v>ORD-2025140</x:v>
      </x:c>
      <x:c r="B141" s="9" t="n">
        <x:v>45894</x:v>
      </x:c>
      <x:c r="C141" s="8" t="str">
        <x:v>Central</x:v>
      </x:c>
      <x:c r="D141" s="8" t="str">
        <x:v>Mason Lee</x:v>
      </x:c>
      <x:c r="E141" s="8" t="str">
        <x:v>Summit Inc</x:v>
      </x:c>
      <x:c r="F141" s="8" t="str">
        <x:v>Software</x:v>
      </x:c>
      <x:c r="G141" s="8" t="str">
        <x:v>ProjectFlow</x:v>
      </x:c>
      <x:c r="H141" s="10" t="n">
        <x:v>15</x:v>
      </x:c>
      <x:c r="I141" s="11" t="n">
        <x:v>700</x:v>
      </x:c>
      <x:c r="J141" s="12" t="n">
        <x:v>0.2</x:v>
      </x:c>
      <x:c r="K141" s="11" t="n">
        <x:f>H141*I141*(1-J141)</x:f>
        <x:v>8400</x:v>
      </x:c>
      <x:c r="L141" s="11" t="n">
        <x:f>H141*(I141*0.62)</x:f>
        <x:v>6510</x:v>
      </x:c>
      <x:c r="M141" s="11" t="n">
        <x:f>K141-L141</x:f>
        <x:v>1890</x:v>
      </x:c>
      <x:c r="N141" s="8" t="str">
        <x:v>Online</x:v>
      </x:c>
      <x:c r="O141" s="8" t="str">
        <x:v>Bank Transfer</x:v>
      </x:c>
      <x:c r="P141" s="8" t="str">
        <x:v>Closed Won</x:v>
      </x:c>
    </x:row>
    <x:row r="142">
      <x:c r="A142" s="8" t="str">
        <x:v>ORD-2025141</x:v>
      </x:c>
      <x:c r="B142" s="9" t="n">
        <x:v>45689</x:v>
      </x:c>
      <x:c r="C142" s="8" t="str">
        <x:v>West</x:v>
      </x:c>
      <x:c r="D142" s="8" t="str">
        <x:v>Liam Chen</x:v>
      </x:c>
      <x:c r="E142" s="8" t="str">
        <x:v>BrightPath Group</x:v>
      </x:c>
      <x:c r="F142" s="8" t="str">
        <x:v>Accessories</x:v>
      </x:c>
      <x:c r="G142" s="8" t="str">
        <x:v>Keyboard Pro</x:v>
      </x:c>
      <x:c r="H142" s="10" t="n">
        <x:v>23</x:v>
      </x:c>
      <x:c r="I142" s="11" t="n">
        <x:v>95</x:v>
      </x:c>
      <x:c r="J142" s="12" t="n">
        <x:v>0</x:v>
      </x:c>
      <x:c r="K142" s="11" t="n">
        <x:f>H142*I142*(1-J142)</x:f>
        <x:v>2185</x:v>
      </x:c>
      <x:c r="L142" s="11" t="n">
        <x:f>H142*(I142*0.62)</x:f>
        <x:v>1354.7</x:v>
      </x:c>
      <x:c r="M142" s="11" t="n">
        <x:f>K142-L142</x:f>
        <x:v>830.3</x:v>
      </x:c>
      <x:c r="N142" s="8" t="str">
        <x:v>Online</x:v>
      </x:c>
      <x:c r="O142" s="8" t="str">
        <x:v>Bank Transfer</x:v>
      </x:c>
      <x:c r="P142" s="8" t="str">
        <x:v>Closed Won</x:v>
      </x:c>
    </x:row>
    <x:row r="143">
      <x:c r="A143" s="8" t="str">
        <x:v>ORD-2025142</x:v>
      </x:c>
      <x:c r="B143" s="9" t="n">
        <x:v>45926</x:v>
      </x:c>
      <x:c r="C143" s="8" t="str">
        <x:v>Central</x:v>
      </x:c>
      <x:c r="D143" s="8" t="str">
        <x:v>Emma Martin</x:v>
      </x:c>
      <x:c r="E143" s="8" t="str">
        <x:v>GreenLeaf LLC</x:v>
      </x:c>
      <x:c r="F143" s="8" t="str">
        <x:v>Accessories</x:v>
      </x:c>
      <x:c r="G143" s="8" t="str">
        <x:v>Headset</x:v>
      </x:c>
      <x:c r="H143" s="10" t="n">
        <x:v>12</x:v>
      </x:c>
      <x:c r="I143" s="11" t="n">
        <x:v>85</x:v>
      </x:c>
      <x:c r="J143" s="12" t="n">
        <x:v>0</x:v>
      </x:c>
      <x:c r="K143" s="11" t="n">
        <x:f>H143*I143*(1-J143)</x:f>
        <x:v>1020</x:v>
      </x:c>
      <x:c r="L143" s="11" t="n">
        <x:f>H143*(I143*0.62)</x:f>
        <x:v>632.4000000000001</x:v>
      </x:c>
      <x:c r="M143" s="11" t="n">
        <x:f>K143-L143</x:f>
        <x:v>387.5999999999999</x:v>
      </x:c>
      <x:c r="N143" s="8" t="str">
        <x:v>Partner</x:v>
      </x:c>
      <x:c r="O143" s="8" t="str">
        <x:v>PayPal</x:v>
      </x:c>
      <x:c r="P143" s="8" t="str">
        <x:v>Closed Won</x:v>
      </x:c>
    </x:row>
    <x:row r="144">
      <x:c r="A144" s="8" t="str">
        <x:v>ORD-2025143</x:v>
      </x:c>
      <x:c r="B144" s="9" t="n">
        <x:v>45981</x:v>
      </x:c>
      <x:c r="C144" s="8" t="str">
        <x:v>East</x:v>
      </x:c>
      <x:c r="D144" s="8" t="str">
        <x:v>Liam Chen</x:v>
      </x:c>
      <x:c r="E144" s="8" t="str">
        <x:v>BrightPath Co</x:v>
      </x:c>
      <x:c r="F144" s="8" t="str">
        <x:v>Services</x:v>
      </x:c>
      <x:c r="G144" s="8" t="str">
        <x:v>Implementation</x:v>
      </x:c>
      <x:c r="H144" s="10" t="n">
        <x:v>4</x:v>
      </x:c>
      <x:c r="I144" s="11" t="n">
        <x:v>2500</x:v>
      </x:c>
      <x:c r="J144" s="12" t="n">
        <x:v>0.1</x:v>
      </x:c>
      <x:c r="K144" s="11" t="n">
        <x:f>H144*I144*(1-J144)</x:f>
        <x:v>9000</x:v>
      </x:c>
      <x:c r="L144" s="11" t="n">
        <x:f>H144*(I144*0.62)</x:f>
        <x:v>6200</x:v>
      </x:c>
      <x:c r="M144" s="11" t="n">
        <x:f>K144-L144</x:f>
        <x:v>2800</x:v>
      </x:c>
      <x:c r="N144" s="8" t="str">
        <x:v>Online</x:v>
      </x:c>
      <x:c r="O144" s="8" t="str">
        <x:v>PayPal</x:v>
      </x:c>
      <x:c r="P144" s="8" t="str">
        <x:v>Closed Won</x:v>
      </x:c>
    </x:row>
    <x:row r="145">
      <x:c r="A145" s="8" t="str">
        <x:v>ORD-2025144</x:v>
      </x:c>
      <x:c r="B145" s="9" t="n">
        <x:v>45699</x:v>
      </x:c>
      <x:c r="C145" s="8" t="str">
        <x:v>Central</x:v>
      </x:c>
      <x:c r="D145" s="8" t="str">
        <x:v>Noah Davis</x:v>
      </x:c>
      <x:c r="E145" s="8" t="str">
        <x:v>Harbor LLC</x:v>
      </x:c>
      <x:c r="F145" s="8" t="str">
        <x:v>Hardware</x:v>
      </x:c>
      <x:c r="G145" s="8" t="str">
        <x:v>Dock Station</x:v>
      </x:c>
      <x:c r="H145" s="10" t="n">
        <x:v>10</x:v>
      </x:c>
      <x:c r="I145" s="11" t="n">
        <x:v>180</x:v>
      </x:c>
      <x:c r="J145" s="12" t="n">
        <x:v>0.15</x:v>
      </x:c>
      <x:c r="K145" s="11" t="n">
        <x:f>H145*I145*(1-J145)</x:f>
        <x:v>1530</x:v>
      </x:c>
      <x:c r="L145" s="11" t="n">
        <x:f>H145*(I145*0.62)</x:f>
        <x:v>1116</x:v>
      </x:c>
      <x:c r="M145" s="11" t="n">
        <x:f>K145-L145</x:f>
        <x:v>414</x:v>
      </x:c>
      <x:c r="N145" s="8" t="str">
        <x:v>Online</x:v>
      </x:c>
      <x:c r="O145" s="8" t="str">
        <x:v>PayPal</x:v>
      </x:c>
      <x:c r="P145" s="8" t="str">
        <x:v>Closed Won</x:v>
      </x:c>
    </x:row>
    <x:row r="146">
      <x:c r="A146" s="8" t="str">
        <x:v>ORD-2025145</x:v>
      </x:c>
      <x:c r="B146" s="9" t="n">
        <x:v>45944</x:v>
      </x:c>
      <x:c r="C146" s="8" t="str">
        <x:v>West</x:v>
      </x:c>
      <x:c r="D146" s="8" t="str">
        <x:v>Sophia Kim</x:v>
      </x:c>
      <x:c r="E146" s="8" t="str">
        <x:v>Urban LLC</x:v>
      </x:c>
      <x:c r="F146" s="8" t="str">
        <x:v>Software</x:v>
      </x:c>
      <x:c r="G146" s="8" t="str">
        <x:v>HR Suite</x:v>
      </x:c>
      <x:c r="H146" s="10" t="n">
        <x:v>22</x:v>
      </x:c>
      <x:c r="I146" s="11" t="n">
        <x:v>950</x:v>
      </x:c>
      <x:c r="J146" s="12" t="n">
        <x:v>0.15</x:v>
      </x:c>
      <x:c r="K146" s="11" t="n">
        <x:f>H146*I146*(1-J146)</x:f>
        <x:v>17765</x:v>
      </x:c>
      <x:c r="L146" s="11" t="n">
        <x:f>H146*(I146*0.62)</x:f>
        <x:v>12958</x:v>
      </x:c>
      <x:c r="M146" s="11" t="n">
        <x:f>K146-L146</x:f>
        <x:v>4807</x:v>
      </x:c>
      <x:c r="N146" s="8" t="str">
        <x:v>Online</x:v>
      </x:c>
      <x:c r="O146" s="8" t="str">
        <x:v>Credit Card</x:v>
      </x:c>
      <x:c r="P146" s="8" t="str">
        <x:v>Shipped</x:v>
      </x:c>
    </x:row>
    <x:row r="147">
      <x:c r="A147" s="8" t="str">
        <x:v>ORD-2025146</x:v>
      </x:c>
      <x:c r="B147" s="9" t="n">
        <x:v>45667</x:v>
      </x:c>
      <x:c r="C147" s="8" t="str">
        <x:v>East</x:v>
      </x:c>
      <x:c r="D147" s="8" t="str">
        <x:v>Ethan Garcia</x:v>
      </x:c>
      <x:c r="E147" s="8" t="str">
        <x:v>GreenLeaf Group</x:v>
      </x:c>
      <x:c r="F147" s="8" t="str">
        <x:v>Accessories</x:v>
      </x:c>
      <x:c r="G147" s="8" t="str">
        <x:v>Webcam HD</x:v>
      </x:c>
      <x:c r="H147" s="10" t="n">
        <x:v>7</x:v>
      </x:c>
      <x:c r="I147" s="11" t="n">
        <x:v>110</x:v>
      </x:c>
      <x:c r="J147" s="12" t="n">
        <x:v>0</x:v>
      </x:c>
      <x:c r="K147" s="11" t="n">
        <x:f>H147*I147*(1-J147)</x:f>
        <x:v>770</x:v>
      </x:c>
      <x:c r="L147" s="11" t="n">
        <x:f>H147*(I147*0.62)</x:f>
        <x:v>477.40000000000003</x:v>
      </x:c>
      <x:c r="M147" s="11" t="n">
        <x:f>K147-L147</x:f>
        <x:v>292.59999999999997</x:v>
      </x:c>
      <x:c r="N147" s="8" t="str">
        <x:v>Partner</x:v>
      </x:c>
      <x:c r="O147" s="8" t="str">
        <x:v>Bank Transfer</x:v>
      </x:c>
      <x:c r="P147" s="8" t="str">
        <x:v>Closed Won</x:v>
      </x:c>
    </x:row>
    <x:row r="148">
      <x:c r="A148" s="8" t="str">
        <x:v>ORD-2025147</x:v>
      </x:c>
      <x:c r="B148" s="9" t="n">
        <x:v>45697</x:v>
      </x:c>
      <x:c r="C148" s="8" t="str">
        <x:v>East</x:v>
      </x:c>
      <x:c r="D148" s="8" t="str">
        <x:v>Liam Chen</x:v>
      </x:c>
      <x:c r="E148" s="8" t="str">
        <x:v>Southridge LLC</x:v>
      </x:c>
      <x:c r="F148" s="8" t="str">
        <x:v>Hardware</x:v>
      </x:c>
      <x:c r="G148" s="8" t="str">
        <x:v>Tablet Air</x:v>
      </x:c>
      <x:c r="H148" s="10" t="n">
        <x:v>25</x:v>
      </x:c>
      <x:c r="I148" s="11" t="n">
        <x:v>820</x:v>
      </x:c>
      <x:c r="J148" s="12" t="n">
        <x:v>0.1</x:v>
      </x:c>
      <x:c r="K148" s="11" t="n">
        <x:f>H148*I148*(1-J148)</x:f>
        <x:v>18450</x:v>
      </x:c>
      <x:c r="L148" s="11" t="n">
        <x:f>H148*(I148*0.62)</x:f>
        <x:v>12710</x:v>
      </x:c>
      <x:c r="M148" s="11" t="n">
        <x:f>K148-L148</x:f>
        <x:v>5740</x:v>
      </x:c>
      <x:c r="N148" s="8" t="str">
        <x:v>Online</x:v>
      </x:c>
      <x:c r="O148" s="8" t="str">
        <x:v>Credit Card</x:v>
      </x:c>
      <x:c r="P148" s="8" t="str">
        <x:v>Shipped</x:v>
      </x:c>
    </x:row>
    <x:row r="149">
      <x:c r="A149" s="8" t="str">
        <x:v>ORD-2025148</x:v>
      </x:c>
      <x:c r="B149" s="9" t="n">
        <x:v>45736</x:v>
      </x:c>
      <x:c r="C149" s="8" t="str">
        <x:v>South</x:v>
      </x:c>
      <x:c r="D149" s="8" t="str">
        <x:v>Noah Davis</x:v>
      </x:c>
      <x:c r="E149" s="8" t="str">
        <x:v>Nova Group</x:v>
      </x:c>
      <x:c r="F149" s="8" t="str">
        <x:v>Hardware</x:v>
      </x:c>
      <x:c r="G149" s="8" t="str">
        <x:v>Monitor 27</x:v>
      </x:c>
      <x:c r="H149" s="10" t="n">
        <x:v>6</x:v>
      </x:c>
      <x:c r="I149" s="11" t="n">
        <x:v>320</x:v>
      </x:c>
      <x:c r="J149" s="12" t="n">
        <x:v>0.15</x:v>
      </x:c>
      <x:c r="K149" s="11" t="n">
        <x:f>H149*I149*(1-J149)</x:f>
        <x:v>1632</x:v>
      </x:c>
      <x:c r="L149" s="11" t="n">
        <x:f>H149*(I149*0.62)</x:f>
        <x:v>1190.4</x:v>
      </x:c>
      <x:c r="M149" s="11" t="n">
        <x:f>K149-L149</x:f>
        <x:v>441.5999999999999</x:v>
      </x:c>
      <x:c r="N149" s="8" t="str">
        <x:v>Partner</x:v>
      </x:c>
      <x:c r="O149" s="8" t="str">
        <x:v>Credit Card</x:v>
      </x:c>
      <x:c r="P149" s="8" t="str">
        <x:v>Closed Won</x:v>
      </x:c>
    </x:row>
    <x:row r="150">
      <x:c r="A150" s="8" t="str">
        <x:v>ORD-2025149</x:v>
      </x:c>
      <x:c r="B150" s="9" t="n">
        <x:v>45970</x:v>
      </x:c>
      <x:c r="C150" s="8" t="str">
        <x:v>East</x:v>
      </x:c>
      <x:c r="D150" s="8" t="str">
        <x:v>Olivia Wilson</x:v>
      </x:c>
      <x:c r="E150" s="8" t="str">
        <x:v>Cedar Inc</x:v>
      </x:c>
      <x:c r="F150" s="8" t="str">
        <x:v>Hardware</x:v>
      </x:c>
      <x:c r="G150" s="8" t="str">
        <x:v>Monitor 27</x:v>
      </x:c>
      <x:c r="H150" s="10" t="n">
        <x:v>18</x:v>
      </x:c>
      <x:c r="I150" s="11" t="n">
        <x:v>320</x:v>
      </x:c>
      <x:c r="J150" s="12" t="n">
        <x:v>0</x:v>
      </x:c>
      <x:c r="K150" s="11" t="n">
        <x:f>H150*I150*(1-J150)</x:f>
        <x:v>5760</x:v>
      </x:c>
      <x:c r="L150" s="11" t="n">
        <x:f>H150*(I150*0.62)</x:f>
        <x:v>3571.2000000000003</x:v>
      </x:c>
      <x:c r="M150" s="11" t="n">
        <x:f>K150-L150</x:f>
        <x:v>2188.7999999999997</x:v>
      </x:c>
      <x:c r="N150" s="8" t="str">
        <x:v>Partner</x:v>
      </x:c>
      <x:c r="O150" s="8" t="str">
        <x:v>PayPal</x:v>
      </x:c>
      <x:c r="P150" s="8" t="str">
        <x:v>Cancelled</x:v>
      </x:c>
    </x:row>
    <x:row r="151">
      <x:c r="A151" s="8" t="str">
        <x:v>ORD-2025150</x:v>
      </x:c>
      <x:c r="B151" s="9" t="n">
        <x:v>46005</x:v>
      </x:c>
      <x:c r="C151" s="8" t="str">
        <x:v>Central</x:v>
      </x:c>
      <x:c r="D151" s="8" t="str">
        <x:v>Olivia Wilson</x:v>
      </x:c>
      <x:c r="E151" s="8" t="str">
        <x:v>GoldenGate Group</x:v>
      </x:c>
      <x:c r="F151" s="8" t="str">
        <x:v>Hardware</x:v>
      </x:c>
      <x:c r="G151" s="8" t="str">
        <x:v>Dock Station</x:v>
      </x:c>
      <x:c r="H151" s="10" t="n">
        <x:v>25</x:v>
      </x:c>
      <x:c r="I151" s="11" t="n">
        <x:v>180</x:v>
      </x:c>
      <x:c r="J151" s="12" t="n">
        <x:v>0</x:v>
      </x:c>
      <x:c r="K151" s="11" t="n">
        <x:f>H151*I151*(1-J151)</x:f>
        <x:v>4500</x:v>
      </x:c>
      <x:c r="L151" s="11" t="n">
        <x:f>H151*(I151*0.62)</x:f>
        <x:v>2790</x:v>
      </x:c>
      <x:c r="M151" s="11" t="n">
        <x:f>K151-L151</x:f>
        <x:v>1710</x:v>
      </x:c>
      <x:c r="N151" s="8" t="str">
        <x:v>Partner</x:v>
      </x:c>
      <x:c r="O151" s="8" t="str">
        <x:v>PayPal</x:v>
      </x:c>
      <x:c r="P151" s="8" t="str">
        <x:v>Cancelled</x:v>
      </x:c>
    </x:row>
    <x:row r="152">
      <x:c r="A152" s="8" t="str">
        <x:v>ORD-2025151</x:v>
      </x:c>
      <x:c r="B152" s="9" t="n">
        <x:v>45786</x:v>
      </x:c>
      <x:c r="C152" s="8" t="str">
        <x:v>North</x:v>
      </x:c>
      <x:c r="D152" s="8" t="str">
        <x:v>Olivia Wilson</x:v>
      </x:c>
      <x:c r="E152" s="8" t="str">
        <x:v>Harbor Group</x:v>
      </x:c>
      <x:c r="F152" s="8" t="str">
        <x:v>Hardware</x:v>
      </x:c>
      <x:c r="G152" s="8" t="str">
        <x:v>Tablet Air</x:v>
      </x:c>
      <x:c r="H152" s="10" t="n">
        <x:v>18</x:v>
      </x:c>
      <x:c r="I152" s="11" t="n">
        <x:v>820</x:v>
      </x:c>
      <x:c r="J152" s="12" t="n">
        <x:v>0</x:v>
      </x:c>
      <x:c r="K152" s="11" t="n">
        <x:f>H152*I152*(1-J152)</x:f>
        <x:v>14760</x:v>
      </x:c>
      <x:c r="L152" s="11" t="n">
        <x:f>H152*(I152*0.62)</x:f>
        <x:v>9151.199999999999</x:v>
      </x:c>
      <x:c r="M152" s="11" t="n">
        <x:f>K152-L152</x:f>
        <x:v>5608.800000000001</x:v>
      </x:c>
      <x:c r="N152" s="8" t="str">
        <x:v>Online</x:v>
      </x:c>
      <x:c r="O152" s="8" t="str">
        <x:v>Credit Card</x:v>
      </x:c>
      <x:c r="P152" s="8" t="str">
        <x:v>Closed Won</x:v>
      </x:c>
    </x:row>
    <x:row r="153">
      <x:c r="A153" s="8" t="str">
        <x:v>ORD-2025152</x:v>
      </x:c>
      <x:c r="B153" s="9" t="n">
        <x:v>45888</x:v>
      </x:c>
      <x:c r="C153" s="8" t="str">
        <x:v>Central</x:v>
      </x:c>
      <x:c r="D153" s="8" t="str">
        <x:v>Noah Davis</x:v>
      </x:c>
      <x:c r="E153" s="8" t="str">
        <x:v>RedStone Group</x:v>
      </x:c>
      <x:c r="F153" s="8" t="str">
        <x:v>Hardware</x:v>
      </x:c>
      <x:c r="G153" s="8" t="str">
        <x:v>Dock Station</x:v>
      </x:c>
      <x:c r="H153" s="10" t="n">
        <x:v>3</x:v>
      </x:c>
      <x:c r="I153" s="11" t="n">
        <x:v>180</x:v>
      </x:c>
      <x:c r="J153" s="12" t="n">
        <x:v>0</x:v>
      </x:c>
      <x:c r="K153" s="11" t="n">
        <x:f>H153*I153*(1-J153)</x:f>
        <x:v>540</x:v>
      </x:c>
      <x:c r="L153" s="11" t="n">
        <x:f>H153*(I153*0.62)</x:f>
        <x:v>334.79999999999995</x:v>
      </x:c>
      <x:c r="M153" s="11" t="n">
        <x:f>K153-L153</x:f>
        <x:v>205.20000000000005</x:v>
      </x:c>
      <x:c r="N153" s="8" t="str">
        <x:v>Partner</x:v>
      </x:c>
      <x:c r="O153" s="8" t="str">
        <x:v>Invoice</x:v>
      </x:c>
      <x:c r="P153" s="8" t="str">
        <x:v>Cancelled</x:v>
      </x:c>
    </x:row>
    <x:row r="154">
      <x:c r="A154" s="8" t="str">
        <x:v>ORD-2025153</x:v>
      </x:c>
      <x:c r="B154" s="9" t="n">
        <x:v>45860</x:v>
      </x:c>
      <x:c r="C154" s="8" t="str">
        <x:v>Central</x:v>
      </x:c>
      <x:c r="D154" s="8" t="str">
        <x:v>Sophia Kim</x:v>
      </x:c>
      <x:c r="E154" s="8" t="str">
        <x:v>Cedar Co</x:v>
      </x:c>
      <x:c r="F154" s="8" t="str">
        <x:v>Accessories</x:v>
      </x:c>
      <x:c r="G154" s="8" t="str">
        <x:v>Wireless Mouse</x:v>
      </x:c>
      <x:c r="H154" s="10" t="n">
        <x:v>13</x:v>
      </x:c>
      <x:c r="I154" s="11" t="n">
        <x:v>40</x:v>
      </x:c>
      <x:c r="J154" s="12" t="n">
        <x:v>0</x:v>
      </x:c>
      <x:c r="K154" s="11" t="n">
        <x:f>H154*I154*(1-J154)</x:f>
        <x:v>520</x:v>
      </x:c>
      <x:c r="L154" s="11" t="n">
        <x:f>H154*(I154*0.62)</x:f>
        <x:v>322.40000000000003</x:v>
      </x:c>
      <x:c r="M154" s="11" t="n">
        <x:f>K154-L154</x:f>
        <x:v>197.59999999999997</x:v>
      </x:c>
      <x:c r="N154" s="8" t="str">
        <x:v>Partner</x:v>
      </x:c>
      <x:c r="O154" s="8" t="str">
        <x:v>Bank Transfer</x:v>
      </x:c>
      <x:c r="P154" s="8" t="str">
        <x:v>Closed Won</x:v>
      </x:c>
    </x:row>
    <x:row r="155">
      <x:c r="A155" s="8" t="str">
        <x:v>ORD-2025154</x:v>
      </x:c>
      <x:c r="B155" s="9" t="n">
        <x:v>45732</x:v>
      </x:c>
      <x:c r="C155" s="8" t="str">
        <x:v>South</x:v>
      </x:c>
      <x:c r="D155" s="8" t="str">
        <x:v>Ava Patel</x:v>
      </x:c>
      <x:c r="E155" s="8" t="str">
        <x:v>Vertex LLC</x:v>
      </x:c>
      <x:c r="F155" s="8" t="str">
        <x:v>Software</x:v>
      </x:c>
      <x:c r="G155" s="8" t="str">
        <x:v>HR Suite</x:v>
      </x:c>
      <x:c r="H155" s="10" t="n">
        <x:v>16</x:v>
      </x:c>
      <x:c r="I155" s="11" t="n">
        <x:v>950</x:v>
      </x:c>
      <x:c r="J155" s="12" t="n">
        <x:v>0.15</x:v>
      </x:c>
      <x:c r="K155" s="11" t="n">
        <x:f>H155*I155*(1-J155)</x:f>
        <x:v>12920</x:v>
      </x:c>
      <x:c r="L155" s="11" t="n">
        <x:f>H155*(I155*0.62)</x:f>
        <x:v>9424</x:v>
      </x:c>
      <x:c r="M155" s="11" t="n">
        <x:f>K155-L155</x:f>
        <x:v>3496</x:v>
      </x:c>
      <x:c r="N155" s="8" t="str">
        <x:v>Direct</x:v>
      </x:c>
      <x:c r="O155" s="8" t="str">
        <x:v>PayPal</x:v>
      </x:c>
      <x:c r="P155" s="8" t="str">
        <x:v>Closed Won</x:v>
      </x:c>
    </x:row>
    <x:row r="156">
      <x:c r="A156" s="8" t="str">
        <x:v>ORD-2025155</x:v>
      </x:c>
      <x:c r="B156" s="9" t="n">
        <x:v>45667</x:v>
      </x:c>
      <x:c r="C156" s="8" t="str">
        <x:v>East</x:v>
      </x:c>
      <x:c r="D156" s="8" t="str">
        <x:v>Mia Johnson</x:v>
      </x:c>
      <x:c r="E156" s="8" t="str">
        <x:v>Urban Group</x:v>
      </x:c>
      <x:c r="F156" s="8" t="str">
        <x:v>Software</x:v>
      </x:c>
      <x:c r="G156" s="8" t="str">
        <x:v>CRM Pro</x:v>
      </x:c>
      <x:c r="H156" s="10" t="n">
        <x:v>18</x:v>
      </x:c>
      <x:c r="I156" s="11" t="n">
        <x:v>1200</x:v>
      </x:c>
      <x:c r="J156" s="12" t="n">
        <x:v>0.15</x:v>
      </x:c>
      <x:c r="K156" s="11" t="n">
        <x:f>H156*I156*(1-J156)</x:f>
        <x:v>18360</x:v>
      </x:c>
      <x:c r="L156" s="11" t="n">
        <x:f>H156*(I156*0.62)</x:f>
        <x:v>13392</x:v>
      </x:c>
      <x:c r="M156" s="11" t="n">
        <x:f>K156-L156</x:f>
        <x:v>4968</x:v>
      </x:c>
      <x:c r="N156" s="8" t="str">
        <x:v>Online</x:v>
      </x:c>
      <x:c r="O156" s="8" t="str">
        <x:v>PayPal</x:v>
      </x:c>
      <x:c r="P156" s="8" t="str">
        <x:v>Closed Won</x:v>
      </x:c>
    </x:row>
    <x:row r="157">
      <x:c r="A157" s="8" t="str">
        <x:v>ORD-2025156</x:v>
      </x:c>
      <x:c r="B157" s="9" t="n">
        <x:v>45812</x:v>
      </x:c>
      <x:c r="C157" s="8" t="str">
        <x:v>North</x:v>
      </x:c>
      <x:c r="D157" s="8" t="str">
        <x:v>Ava Patel</x:v>
      </x:c>
      <x:c r="E157" s="8" t="str">
        <x:v>Cedar Co</x:v>
      </x:c>
      <x:c r="F157" s="8" t="str">
        <x:v>Services</x:v>
      </x:c>
      <x:c r="G157" s="8" t="str">
        <x:v>Training</x:v>
      </x:c>
      <x:c r="H157" s="10" t="n">
        <x:v>14</x:v>
      </x:c>
      <x:c r="I157" s="11" t="n">
        <x:v>900</x:v>
      </x:c>
      <x:c r="J157" s="12" t="n">
        <x:v>0.15</x:v>
      </x:c>
      <x:c r="K157" s="11" t="n">
        <x:f>H157*I157*(1-J157)</x:f>
        <x:v>10710</x:v>
      </x:c>
      <x:c r="L157" s="11" t="n">
        <x:f>H157*(I157*0.62)</x:f>
        <x:v>7812</x:v>
      </x:c>
      <x:c r="M157" s="11" t="n">
        <x:f>K157-L157</x:f>
        <x:v>2898</x:v>
      </x:c>
      <x:c r="N157" s="8" t="str">
        <x:v>Online</x:v>
      </x:c>
      <x:c r="O157" s="8" t="str">
        <x:v>PayPal</x:v>
      </x:c>
      <x:c r="P157" s="8" t="str">
        <x:v>Closed Won</x:v>
      </x:c>
    </x:row>
    <x:row r="158">
      <x:c r="A158" s="8" t="str">
        <x:v>ORD-2025157</x:v>
      </x:c>
      <x:c r="B158" s="9" t="n">
        <x:v>45981</x:v>
      </x:c>
      <x:c r="C158" s="8" t="str">
        <x:v>Central</x:v>
      </x:c>
      <x:c r="D158" s="8" t="str">
        <x:v>Emma Martin</x:v>
      </x:c>
      <x:c r="E158" s="8" t="str">
        <x:v>Cedar Co</x:v>
      </x:c>
      <x:c r="F158" s="8" t="str">
        <x:v>Accessories</x:v>
      </x:c>
      <x:c r="G158" s="8" t="str">
        <x:v>Wireless Mouse</x:v>
      </x:c>
      <x:c r="H158" s="10" t="n">
        <x:v>23</x:v>
      </x:c>
      <x:c r="I158" s="11" t="n">
        <x:v>40</x:v>
      </x:c>
      <x:c r="J158" s="12" t="n">
        <x:v>0</x:v>
      </x:c>
      <x:c r="K158" s="11" t="n">
        <x:f>H158*I158*(1-J158)</x:f>
        <x:v>920</x:v>
      </x:c>
      <x:c r="L158" s="11" t="n">
        <x:f>H158*(I158*0.62)</x:f>
        <x:v>570.4</x:v>
      </x:c>
      <x:c r="M158" s="11" t="n">
        <x:f>K158-L158</x:f>
        <x:v>349.6</x:v>
      </x:c>
      <x:c r="N158" s="8" t="str">
        <x:v>Partner</x:v>
      </x:c>
      <x:c r="O158" s="8" t="str">
        <x:v>PayPal</x:v>
      </x:c>
      <x:c r="P158" s="8" t="str">
        <x:v>Closed Won</x:v>
      </x:c>
    </x:row>
    <x:row r="159">
      <x:c r="A159" s="8" t="str">
        <x:v>ORD-2025158</x:v>
      </x:c>
      <x:c r="B159" s="9" t="n">
        <x:v>45950</x:v>
      </x:c>
      <x:c r="C159" s="8" t="str">
        <x:v>West</x:v>
      </x:c>
      <x:c r="D159" s="8" t="str">
        <x:v>Noah Davis</x:v>
      </x:c>
      <x:c r="E159" s="8" t="str">
        <x:v>BlueSky Co</x:v>
      </x:c>
      <x:c r="F159" s="8" t="str">
        <x:v>Services</x:v>
      </x:c>
      <x:c r="G159" s="8" t="str">
        <x:v>Training</x:v>
      </x:c>
      <x:c r="H159" s="10" t="n">
        <x:v>17</x:v>
      </x:c>
      <x:c r="I159" s="11" t="n">
        <x:v>900</x:v>
      </x:c>
      <x:c r="J159" s="12" t="n">
        <x:v>0</x:v>
      </x:c>
      <x:c r="K159" s="11" t="n">
        <x:f>H159*I159*(1-J159)</x:f>
        <x:v>15300</x:v>
      </x:c>
      <x:c r="L159" s="11" t="n">
        <x:f>H159*(I159*0.62)</x:f>
        <x:v>9486</x:v>
      </x:c>
      <x:c r="M159" s="11" t="n">
        <x:f>K159-L159</x:f>
        <x:v>5814</x:v>
      </x:c>
      <x:c r="N159" s="8" t="str">
        <x:v>Direct</x:v>
      </x:c>
      <x:c r="O159" s="8" t="str">
        <x:v>Credit Card</x:v>
      </x:c>
      <x:c r="P159" s="8" t="str">
        <x:v>Closed Won</x:v>
      </x:c>
    </x:row>
    <x:row r="160">
      <x:c r="A160" s="8" t="str">
        <x:v>ORD-2025159</x:v>
      </x:c>
      <x:c r="B160" s="9" t="n">
        <x:v>45983</x:v>
      </x:c>
      <x:c r="C160" s="8" t="str">
        <x:v>West</x:v>
      </x:c>
      <x:c r="D160" s="8" t="str">
        <x:v>Sophia Kim</x:v>
      </x:c>
      <x:c r="E160" s="8" t="str">
        <x:v>Prime LLC</x:v>
      </x:c>
      <x:c r="F160" s="8" t="str">
        <x:v>Accessories</x:v>
      </x:c>
      <x:c r="G160" s="8" t="str">
        <x:v>Wireless Mouse</x:v>
      </x:c>
      <x:c r="H160" s="10" t="n">
        <x:v>24</x:v>
      </x:c>
      <x:c r="I160" s="11" t="n">
        <x:v>40</x:v>
      </x:c>
      <x:c r="J160" s="12" t="n">
        <x:v>0</x:v>
      </x:c>
      <x:c r="K160" s="11" t="n">
        <x:f>H160*I160*(1-J160)</x:f>
        <x:v>960</x:v>
      </x:c>
      <x:c r="L160" s="11" t="n">
        <x:f>H160*(I160*0.62)</x:f>
        <x:v>595.2</x:v>
      </x:c>
      <x:c r="M160" s="11" t="n">
        <x:f>K160-L160</x:f>
        <x:v>364.79999999999995</x:v>
      </x:c>
      <x:c r="N160" s="8" t="str">
        <x:v>Partner</x:v>
      </x:c>
      <x:c r="O160" s="8" t="str">
        <x:v>Credit Card</x:v>
      </x:c>
      <x:c r="P160" s="8" t="str">
        <x:v>Closed Won</x:v>
      </x:c>
    </x:row>
    <x:row r="161">
      <x:c r="A161" s="8" t="str">
        <x:v>ORD-2025160</x:v>
      </x:c>
      <x:c r="B161" s="9" t="n">
        <x:v>45726</x:v>
      </x:c>
      <x:c r="C161" s="8" t="str">
        <x:v>North</x:v>
      </x:c>
      <x:c r="D161" s="8" t="str">
        <x:v>Sophia Kim</x:v>
      </x:c>
      <x:c r="E161" s="8" t="str">
        <x:v>Maple Inc</x:v>
      </x:c>
      <x:c r="F161" s="8" t="str">
        <x:v>Software</x:v>
      </x:c>
      <x:c r="G161" s="8" t="str">
        <x:v>HR Suite</x:v>
      </x:c>
      <x:c r="H161" s="10" t="n">
        <x:v>11</x:v>
      </x:c>
      <x:c r="I161" s="11" t="n">
        <x:v>950</x:v>
      </x:c>
      <x:c r="J161" s="12" t="n">
        <x:v>0.2</x:v>
      </x:c>
      <x:c r="K161" s="11" t="n">
        <x:f>H161*I161*(1-J161)</x:f>
        <x:v>8360</x:v>
      </x:c>
      <x:c r="L161" s="11" t="n">
        <x:f>H161*(I161*0.62)</x:f>
        <x:v>6479</x:v>
      </x:c>
      <x:c r="M161" s="11" t="n">
        <x:f>K161-L161</x:f>
        <x:v>1881</x:v>
      </x:c>
      <x:c r="N161" s="8" t="str">
        <x:v>Online</x:v>
      </x:c>
      <x:c r="O161" s="8" t="str">
        <x:v>Bank Transfer</x:v>
      </x:c>
      <x:c r="P161" s="8" t="str">
        <x:v>Returned</x:v>
      </x:c>
    </x:row>
    <x:row r="162">
      <x:c r="A162" s="8" t="str">
        <x:v>ORD-2025161</x:v>
      </x:c>
      <x:c r="B162" s="9" t="n">
        <x:v>45981</x:v>
      </x:c>
      <x:c r="C162" s="8" t="str">
        <x:v>South</x:v>
      </x:c>
      <x:c r="D162" s="8" t="str">
        <x:v>Noah Davis</x:v>
      </x:c>
      <x:c r="E162" s="8" t="str">
        <x:v>BlueSky LLC</x:v>
      </x:c>
      <x:c r="F162" s="8" t="str">
        <x:v>Accessories</x:v>
      </x:c>
      <x:c r="G162" s="8" t="str">
        <x:v>Headset</x:v>
      </x:c>
      <x:c r="H162" s="10" t="n">
        <x:v>23</x:v>
      </x:c>
      <x:c r="I162" s="11" t="n">
        <x:v>85</x:v>
      </x:c>
      <x:c r="J162" s="12" t="n">
        <x:v>0.2</x:v>
      </x:c>
      <x:c r="K162" s="11" t="n">
        <x:f>H162*I162*(1-J162)</x:f>
        <x:v>1564</x:v>
      </x:c>
      <x:c r="L162" s="11" t="n">
        <x:f>H162*(I162*0.62)</x:f>
        <x:v>1212.1000000000001</x:v>
      </x:c>
      <x:c r="M162" s="11" t="n">
        <x:f>K162-L162</x:f>
        <x:v>351.89999999999986</x:v>
      </x:c>
      <x:c r="N162" s="8" t="str">
        <x:v>Partner</x:v>
      </x:c>
      <x:c r="O162" s="8" t="str">
        <x:v>Credit Card</x:v>
      </x:c>
      <x:c r="P162" s="8" t="str">
        <x:v>Closed Won</x:v>
      </x:c>
    </x:row>
    <x:row r="163">
      <x:c r="A163" s="8" t="str">
        <x:v>ORD-2025162</x:v>
      </x:c>
      <x:c r="B163" s="9" t="n">
        <x:v>45679</x:v>
      </x:c>
      <x:c r="C163" s="8" t="str">
        <x:v>East</x:v>
      </x:c>
      <x:c r="D163" s="8" t="str">
        <x:v>Ethan Garcia</x:v>
      </x:c>
      <x:c r="E163" s="8" t="str">
        <x:v>Southridge Inc</x:v>
      </x:c>
      <x:c r="F163" s="8" t="str">
        <x:v>Software</x:v>
      </x:c>
      <x:c r="G163" s="8" t="str">
        <x:v>Analytics Cloud</x:v>
      </x:c>
      <x:c r="H163" s="10" t="n">
        <x:v>13</x:v>
      </x:c>
      <x:c r="I163" s="11" t="n">
        <x:v>1800</x:v>
      </x:c>
      <x:c r="J163" s="12" t="n">
        <x:v>0.2</x:v>
      </x:c>
      <x:c r="K163" s="11" t="n">
        <x:f>H163*I163*(1-J163)</x:f>
        <x:v>18720</x:v>
      </x:c>
      <x:c r="L163" s="11" t="n">
        <x:f>H163*(I163*0.62)</x:f>
        <x:v>14508</x:v>
      </x:c>
      <x:c r="M163" s="11" t="n">
        <x:f>K163-L163</x:f>
        <x:v>4212</x:v>
      </x:c>
      <x:c r="N163" s="8" t="str">
        <x:v>Online</x:v>
      </x:c>
      <x:c r="O163" s="8" t="str">
        <x:v>PayPal</x:v>
      </x:c>
      <x:c r="P163" s="8" t="str">
        <x:v>Closed Won</x:v>
      </x:c>
    </x:row>
    <x:row r="164">
      <x:c r="A164" s="8" t="str">
        <x:v>ORD-2025163</x:v>
      </x:c>
      <x:c r="B164" s="9" t="n">
        <x:v>45840</x:v>
      </x:c>
      <x:c r="C164" s="8" t="str">
        <x:v>North</x:v>
      </x:c>
      <x:c r="D164" s="8" t="str">
        <x:v>Sophia Kim</x:v>
      </x:c>
      <x:c r="E164" s="8" t="str">
        <x:v>Prime Co</x:v>
      </x:c>
      <x:c r="F164" s="8" t="str">
        <x:v>Hardware</x:v>
      </x:c>
      <x:c r="G164" s="8" t="str">
        <x:v>Dock Station</x:v>
      </x:c>
      <x:c r="H164" s="10" t="n">
        <x:v>4</x:v>
      </x:c>
      <x:c r="I164" s="11" t="n">
        <x:v>180</x:v>
      </x:c>
      <x:c r="J164" s="12" t="n">
        <x:v>0.2</x:v>
      </x:c>
      <x:c r="K164" s="11" t="n">
        <x:f>H164*I164*(1-J164)</x:f>
        <x:v>576</x:v>
      </x:c>
      <x:c r="L164" s="11" t="n">
        <x:f>H164*(I164*0.62)</x:f>
        <x:v>446.4</x:v>
      </x:c>
      <x:c r="M164" s="11" t="n">
        <x:f>K164-L164</x:f>
        <x:v>129.60000000000002</x:v>
      </x:c>
      <x:c r="N164" s="8" t="str">
        <x:v>Partner</x:v>
      </x:c>
      <x:c r="O164" s="8" t="str">
        <x:v>PayPal</x:v>
      </x:c>
      <x:c r="P164" s="8" t="str">
        <x:v>Cancelled</x:v>
      </x:c>
    </x:row>
    <x:row r="165">
      <x:c r="A165" s="8" t="str">
        <x:v>ORD-2025164</x:v>
      </x:c>
      <x:c r="B165" s="9" t="n">
        <x:v>45831</x:v>
      </x:c>
      <x:c r="C165" s="8" t="str">
        <x:v>South</x:v>
      </x:c>
      <x:c r="D165" s="8" t="str">
        <x:v>Olivia Wilson</x:v>
      </x:c>
      <x:c r="E165" s="8" t="str">
        <x:v>NorthStar Group</x:v>
      </x:c>
      <x:c r="F165" s="8" t="str">
        <x:v>Accessories</x:v>
      </x:c>
      <x:c r="G165" s="8" t="str">
        <x:v>Headset</x:v>
      </x:c>
      <x:c r="H165" s="10" t="n">
        <x:v>12</x:v>
      </x:c>
      <x:c r="I165" s="11" t="n">
        <x:v>85</x:v>
      </x:c>
      <x:c r="J165" s="12" t="n">
        <x:v>0.2</x:v>
      </x:c>
      <x:c r="K165" s="11" t="n">
        <x:f>H165*I165*(1-J165)</x:f>
        <x:v>816</x:v>
      </x:c>
      <x:c r="L165" s="11" t="n">
        <x:f>H165*(I165*0.62)</x:f>
        <x:v>632.4000000000001</x:v>
      </x:c>
      <x:c r="M165" s="11" t="n">
        <x:f>K165-L165</x:f>
        <x:v>183.5999999999999</x:v>
      </x:c>
      <x:c r="N165" s="8" t="str">
        <x:v>Online</x:v>
      </x:c>
      <x:c r="O165" s="8" t="str">
        <x:v>Invoice</x:v>
      </x:c>
      <x:c r="P165" s="8" t="str">
        <x:v>Returned</x:v>
      </x:c>
    </x:row>
    <x:row r="166">
      <x:c r="A166" s="8" t="str">
        <x:v>ORD-2025165</x:v>
      </x:c>
      <x:c r="B166" s="9" t="n">
        <x:v>45878</x:v>
      </x:c>
      <x:c r="C166" s="8" t="str">
        <x:v>Central</x:v>
      </x:c>
      <x:c r="D166" s="8" t="str">
        <x:v>Noah Davis</x:v>
      </x:c>
      <x:c r="E166" s="8" t="str">
        <x:v>Maple Inc</x:v>
      </x:c>
      <x:c r="F166" s="8" t="str">
        <x:v>Accessories</x:v>
      </x:c>
      <x:c r="G166" s="8" t="str">
        <x:v>Wireless Mouse</x:v>
      </x:c>
      <x:c r="H166" s="10" t="n">
        <x:v>10</x:v>
      </x:c>
      <x:c r="I166" s="11" t="n">
        <x:v>40</x:v>
      </x:c>
      <x:c r="J166" s="12" t="n">
        <x:v>0</x:v>
      </x:c>
      <x:c r="K166" s="11" t="n">
        <x:f>H166*I166*(1-J166)</x:f>
        <x:v>400</x:v>
      </x:c>
      <x:c r="L166" s="11" t="n">
        <x:f>H166*(I166*0.62)</x:f>
        <x:v>248</x:v>
      </x:c>
      <x:c r="M166" s="11" t="n">
        <x:f>K166-L166</x:f>
        <x:v>152</x:v>
      </x:c>
      <x:c r="N166" s="8" t="str">
        <x:v>Direct</x:v>
      </x:c>
      <x:c r="O166" s="8" t="str">
        <x:v>Credit Card</x:v>
      </x:c>
      <x:c r="P166" s="8" t="str">
        <x:v>Closed Won</x:v>
      </x:c>
    </x:row>
    <x:row r="167">
      <x:c r="A167" s="8" t="str">
        <x:v>ORD-2025166</x:v>
      </x:c>
      <x:c r="B167" s="9" t="n">
        <x:v>45886</x:v>
      </x:c>
      <x:c r="C167" s="8" t="str">
        <x:v>Central</x:v>
      </x:c>
      <x:c r="D167" s="8" t="str">
        <x:v>Lucas Brown</x:v>
      </x:c>
      <x:c r="E167" s="8" t="str">
        <x:v>GreenLeaf Inc</x:v>
      </x:c>
      <x:c r="F167" s="8" t="str">
        <x:v>Services</x:v>
      </x:c>
      <x:c r="G167" s="8" t="str">
        <x:v>Support Plus</x:v>
      </x:c>
      <x:c r="H167" s="10" t="n">
        <x:v>23</x:v>
      </x:c>
      <x:c r="I167" s="11" t="n">
        <x:v>650</x:v>
      </x:c>
      <x:c r="J167" s="12" t="n">
        <x:v>0.05</x:v>
      </x:c>
      <x:c r="K167" s="11" t="n">
        <x:f>H167*I167*(1-J167)</x:f>
        <x:v>14202.5</x:v>
      </x:c>
      <x:c r="L167" s="11" t="n">
        <x:f>H167*(I167*0.62)</x:f>
        <x:v>9269</x:v>
      </x:c>
      <x:c r="M167" s="11" t="n">
        <x:f>K167-L167</x:f>
        <x:v>4933.5</x:v>
      </x:c>
      <x:c r="N167" s="8" t="str">
        <x:v>Partner</x:v>
      </x:c>
      <x:c r="O167" s="8" t="str">
        <x:v>PayPal</x:v>
      </x:c>
      <x:c r="P167" s="8" t="str">
        <x:v>Closed Won</x:v>
      </x:c>
    </x:row>
    <x:row r="168">
      <x:c r="A168" s="8" t="str">
        <x:v>ORD-2025167</x:v>
      </x:c>
      <x:c r="B168" s="9" t="n">
        <x:v>45798</x:v>
      </x:c>
      <x:c r="C168" s="8" t="str">
        <x:v>North</x:v>
      </x:c>
      <x:c r="D168" s="8" t="str">
        <x:v>Liam Chen</x:v>
      </x:c>
      <x:c r="E168" s="8" t="str">
        <x:v>SilverLine Group</x:v>
      </x:c>
      <x:c r="F168" s="8" t="str">
        <x:v>Services</x:v>
      </x:c>
      <x:c r="G168" s="8" t="str">
        <x:v>Consulting Day</x:v>
      </x:c>
      <x:c r="H168" s="10" t="n">
        <x:v>12</x:v>
      </x:c>
      <x:c r="I168" s="11" t="n">
        <x:v>1400</x:v>
      </x:c>
      <x:c r="J168" s="12" t="n">
        <x:v>0.1</x:v>
      </x:c>
      <x:c r="K168" s="11" t="n">
        <x:f>H168*I168*(1-J168)</x:f>
        <x:v>15120</x:v>
      </x:c>
      <x:c r="L168" s="11" t="n">
        <x:f>H168*(I168*0.62)</x:f>
        <x:v>10416</x:v>
      </x:c>
      <x:c r="M168" s="11" t="n">
        <x:f>K168-L168</x:f>
        <x:v>4704</x:v>
      </x:c>
      <x:c r="N168" s="8" t="str">
        <x:v>Online</x:v>
      </x:c>
      <x:c r="O168" s="8" t="str">
        <x:v>Bank Transfer</x:v>
      </x:c>
      <x:c r="P168" s="8" t="str">
        <x:v>Cancelled</x:v>
      </x:c>
    </x:row>
    <x:row r="169">
      <x:c r="A169" s="8" t="str">
        <x:v>ORD-2025168</x:v>
      </x:c>
      <x:c r="B169" s="9" t="n">
        <x:v>45675</x:v>
      </x:c>
      <x:c r="C169" s="8" t="str">
        <x:v>South</x:v>
      </x:c>
      <x:c r="D169" s="8" t="str">
        <x:v>Liam Chen</x:v>
      </x:c>
      <x:c r="E169" s="8" t="str">
        <x:v>Cedar Co</x:v>
      </x:c>
      <x:c r="F169" s="8" t="str">
        <x:v>Hardware</x:v>
      </x:c>
      <x:c r="G169" s="8" t="str">
        <x:v>Monitor 27</x:v>
      </x:c>
      <x:c r="H169" s="10" t="n">
        <x:v>25</x:v>
      </x:c>
      <x:c r="I169" s="11" t="n">
        <x:v>320</x:v>
      </x:c>
      <x:c r="J169" s="12" t="n">
        <x:v>0.15</x:v>
      </x:c>
      <x:c r="K169" s="11" t="n">
        <x:f>H169*I169*(1-J169)</x:f>
        <x:v>6800</x:v>
      </x:c>
      <x:c r="L169" s="11" t="n">
        <x:f>H169*(I169*0.62)</x:f>
        <x:v>4960</x:v>
      </x:c>
      <x:c r="M169" s="11" t="n">
        <x:f>K169-L169</x:f>
        <x:v>1840</x:v>
      </x:c>
      <x:c r="N169" s="8" t="str">
        <x:v>Partner</x:v>
      </x:c>
      <x:c r="O169" s="8" t="str">
        <x:v>Invoice</x:v>
      </x:c>
      <x:c r="P169" s="8" t="str">
        <x:v>Closed Won</x:v>
      </x:c>
    </x:row>
    <x:row r="170">
      <x:c r="A170" s="8" t="str">
        <x:v>ORD-2025169</x:v>
      </x:c>
      <x:c r="B170" s="9" t="n">
        <x:v>46005</x:v>
      </x:c>
      <x:c r="C170" s="8" t="str">
        <x:v>West</x:v>
      </x:c>
      <x:c r="D170" s="8" t="str">
        <x:v>Sophia Kim</x:v>
      </x:c>
      <x:c r="E170" s="8" t="str">
        <x:v>Harbor Group</x:v>
      </x:c>
      <x:c r="F170" s="8" t="str">
        <x:v>Software</x:v>
      </x:c>
      <x:c r="G170" s="8" t="str">
        <x:v>Analytics Cloud</x:v>
      </x:c>
      <x:c r="H170" s="10" t="n">
        <x:v>15</x:v>
      </x:c>
      <x:c r="I170" s="11" t="n">
        <x:v>1800</x:v>
      </x:c>
      <x:c r="J170" s="12" t="n">
        <x:v>0.2</x:v>
      </x:c>
      <x:c r="K170" s="11" t="n">
        <x:f>H170*I170*(1-J170)</x:f>
        <x:v>21600</x:v>
      </x:c>
      <x:c r="L170" s="11" t="n">
        <x:f>H170*(I170*0.62)</x:f>
        <x:v>16740</x:v>
      </x:c>
      <x:c r="M170" s="11" t="n">
        <x:f>K170-L170</x:f>
        <x:v>4860</x:v>
      </x:c>
      <x:c r="N170" s="8" t="str">
        <x:v>Direct</x:v>
      </x:c>
      <x:c r="O170" s="8" t="str">
        <x:v>Bank Transfer</x:v>
      </x:c>
      <x:c r="P170" s="8" t="str">
        <x:v>Pending</x:v>
      </x:c>
    </x:row>
    <x:row r="171">
      <x:c r="A171" s="8" t="str">
        <x:v>ORD-2025170</x:v>
      </x:c>
      <x:c r="B171" s="9" t="n">
        <x:v>45990</x:v>
      </x:c>
      <x:c r="C171" s="8" t="str">
        <x:v>East</x:v>
      </x:c>
      <x:c r="D171" s="8" t="str">
        <x:v>Mia Johnson</x:v>
      </x:c>
      <x:c r="E171" s="8" t="str">
        <x:v>Pioneer Co</x:v>
      </x:c>
      <x:c r="F171" s="8" t="str">
        <x:v>Accessories</x:v>
      </x:c>
      <x:c r="G171" s="8" t="str">
        <x:v>Webcam HD</x:v>
      </x:c>
      <x:c r="H171" s="10" t="n">
        <x:v>1</x:v>
      </x:c>
      <x:c r="I171" s="11" t="n">
        <x:v>110</x:v>
      </x:c>
      <x:c r="J171" s="12" t="n">
        <x:v>0.15</x:v>
      </x:c>
      <x:c r="K171" s="11" t="n">
        <x:f>H171*I171*(1-J171)</x:f>
        <x:v>93.5</x:v>
      </x:c>
      <x:c r="L171" s="11" t="n">
        <x:f>H171*(I171*0.62)</x:f>
        <x:v>68.2</x:v>
      </x:c>
      <x:c r="M171" s="11" t="n">
        <x:f>K171-L171</x:f>
        <x:v>25.299999999999997</x:v>
      </x:c>
      <x:c r="N171" s="8" t="str">
        <x:v>Direct</x:v>
      </x:c>
      <x:c r="O171" s="8" t="str">
        <x:v>PayPal</x:v>
      </x:c>
      <x:c r="P171" s="8" t="str">
        <x:v>Pending</x:v>
      </x:c>
    </x:row>
    <x:row r="172">
      <x:c r="A172" s="8" t="str">
        <x:v>ORD-2025171</x:v>
      </x:c>
      <x:c r="B172" s="9" t="n">
        <x:v>45791</x:v>
      </x:c>
      <x:c r="C172" s="8" t="str">
        <x:v>West</x:v>
      </x:c>
      <x:c r="D172" s="8" t="str">
        <x:v>Mia Johnson</x:v>
      </x:c>
      <x:c r="E172" s="8" t="str">
        <x:v>Nova Co</x:v>
      </x:c>
      <x:c r="F172" s="8" t="str">
        <x:v>Software</x:v>
      </x:c>
      <x:c r="G172" s="8" t="str">
        <x:v>HR Suite</x:v>
      </x:c>
      <x:c r="H172" s="10" t="n">
        <x:v>10</x:v>
      </x:c>
      <x:c r="I172" s="11" t="n">
        <x:v>950</x:v>
      </x:c>
      <x:c r="J172" s="12" t="n">
        <x:v>0.15</x:v>
      </x:c>
      <x:c r="K172" s="11" t="n">
        <x:f>H172*I172*(1-J172)</x:f>
        <x:v>8075</x:v>
      </x:c>
      <x:c r="L172" s="11" t="n">
        <x:f>H172*(I172*0.62)</x:f>
        <x:v>5890</x:v>
      </x:c>
      <x:c r="M172" s="11" t="n">
        <x:f>K172-L172</x:f>
        <x:v>2185</x:v>
      </x:c>
      <x:c r="N172" s="8" t="str">
        <x:v>Partner</x:v>
      </x:c>
      <x:c r="O172" s="8" t="str">
        <x:v>Bank Transfer</x:v>
      </x:c>
      <x:c r="P172" s="8" t="str">
        <x:v>Closed Won</x:v>
      </x:c>
    </x:row>
    <x:row r="173">
      <x:c r="A173" s="8" t="str">
        <x:v>ORD-2025172</x:v>
      </x:c>
      <x:c r="B173" s="9" t="n">
        <x:v>45746</x:v>
      </x:c>
      <x:c r="C173" s="8" t="str">
        <x:v>West</x:v>
      </x:c>
      <x:c r="D173" s="8" t="str">
        <x:v>Liam Chen</x:v>
      </x:c>
      <x:c r="E173" s="8" t="str">
        <x:v>BrightPath LLC</x:v>
      </x:c>
      <x:c r="F173" s="8" t="str">
        <x:v>Software</x:v>
      </x:c>
      <x:c r="G173" s="8" t="str">
        <x:v>ProjectFlow</x:v>
      </x:c>
      <x:c r="H173" s="10" t="n">
        <x:v>22</x:v>
      </x:c>
      <x:c r="I173" s="11" t="n">
        <x:v>700</x:v>
      </x:c>
      <x:c r="J173" s="12" t="n">
        <x:v>0</x:v>
      </x:c>
      <x:c r="K173" s="11" t="n">
        <x:f>H173*I173*(1-J173)</x:f>
        <x:v>15400</x:v>
      </x:c>
      <x:c r="L173" s="11" t="n">
        <x:f>H173*(I173*0.62)</x:f>
        <x:v>9548</x:v>
      </x:c>
      <x:c r="M173" s="11" t="n">
        <x:f>K173-L173</x:f>
        <x:v>5852</x:v>
      </x:c>
      <x:c r="N173" s="8" t="str">
        <x:v>Online</x:v>
      </x:c>
      <x:c r="O173" s="8" t="str">
        <x:v>Credit Card</x:v>
      </x:c>
      <x:c r="P173" s="8" t="str">
        <x:v>Pending</x:v>
      </x:c>
    </x:row>
    <x:row r="174">
      <x:c r="A174" s="8" t="str">
        <x:v>ORD-2025173</x:v>
      </x:c>
      <x:c r="B174" s="9" t="n">
        <x:v>45738</x:v>
      </x:c>
      <x:c r="C174" s="8" t="str">
        <x:v>South</x:v>
      </x:c>
      <x:c r="D174" s="8" t="str">
        <x:v>Sophia Kim</x:v>
      </x:c>
      <x:c r="E174" s="8" t="str">
        <x:v>Southridge Inc</x:v>
      </x:c>
      <x:c r="F174" s="8" t="str">
        <x:v>Services</x:v>
      </x:c>
      <x:c r="G174" s="8" t="str">
        <x:v>Support Plus</x:v>
      </x:c>
      <x:c r="H174" s="10" t="n">
        <x:v>8</x:v>
      </x:c>
      <x:c r="I174" s="11" t="n">
        <x:v>650</x:v>
      </x:c>
      <x:c r="J174" s="12" t="n">
        <x:v>0</x:v>
      </x:c>
      <x:c r="K174" s="11" t="n">
        <x:f>H174*I174*(1-J174)</x:f>
        <x:v>5200</x:v>
      </x:c>
      <x:c r="L174" s="11" t="n">
        <x:f>H174*(I174*0.62)</x:f>
        <x:v>3224</x:v>
      </x:c>
      <x:c r="M174" s="11" t="n">
        <x:f>K174-L174</x:f>
        <x:v>1976</x:v>
      </x:c>
      <x:c r="N174" s="8" t="str">
        <x:v>Direct</x:v>
      </x:c>
      <x:c r="O174" s="8" t="str">
        <x:v>Bank Transfer</x:v>
      </x:c>
      <x:c r="P174" s="8" t="str">
        <x:v>Closed Won</x:v>
      </x:c>
    </x:row>
    <x:row r="175">
      <x:c r="A175" s="8" t="str">
        <x:v>ORD-2025174</x:v>
      </x:c>
      <x:c r="B175" s="9" t="n">
        <x:v>45842</x:v>
      </x:c>
      <x:c r="C175" s="8" t="str">
        <x:v>Central</x:v>
      </x:c>
      <x:c r="D175" s="8" t="str">
        <x:v>Emma Martin</x:v>
      </x:c>
      <x:c r="E175" s="8" t="str">
        <x:v>Harbor Group</x:v>
      </x:c>
      <x:c r="F175" s="8" t="str">
        <x:v>Accessories</x:v>
      </x:c>
      <x:c r="G175" s="8" t="str">
        <x:v>Wireless Mouse</x:v>
      </x:c>
      <x:c r="H175" s="10" t="n">
        <x:v>15</x:v>
      </x:c>
      <x:c r="I175" s="11" t="n">
        <x:v>40</x:v>
      </x:c>
      <x:c r="J175" s="12" t="n">
        <x:v>0.2</x:v>
      </x:c>
      <x:c r="K175" s="11" t="n">
        <x:f>H175*I175*(1-J175)</x:f>
        <x:v>480</x:v>
      </x:c>
      <x:c r="L175" s="11" t="n">
        <x:f>H175*(I175*0.62)</x:f>
        <x:v>372</x:v>
      </x:c>
      <x:c r="M175" s="11" t="n">
        <x:f>K175-L175</x:f>
        <x:v>108</x:v>
      </x:c>
      <x:c r="N175" s="8" t="str">
        <x:v>Online</x:v>
      </x:c>
      <x:c r="O175" s="8" t="str">
        <x:v>Bank Transfer</x:v>
      </x:c>
      <x:c r="P175" s="8" t="str">
        <x:v>Shipped</x:v>
      </x:c>
    </x:row>
    <x:row r="176">
      <x:c r="A176" s="8" t="str">
        <x:v>ORD-2025175</x:v>
      </x:c>
      <x:c r="B176" s="9" t="n">
        <x:v>45816</x:v>
      </x:c>
      <x:c r="C176" s="8" t="str">
        <x:v>West</x:v>
      </x:c>
      <x:c r="D176" s="8" t="str">
        <x:v>Olivia Wilson</x:v>
      </x:c>
      <x:c r="E176" s="8" t="str">
        <x:v>Southridge Group</x:v>
      </x:c>
      <x:c r="F176" s="8" t="str">
        <x:v>Software</x:v>
      </x:c>
      <x:c r="G176" s="8" t="str">
        <x:v>CRM Pro</x:v>
      </x:c>
      <x:c r="H176" s="10" t="n">
        <x:v>14</x:v>
      </x:c>
      <x:c r="I176" s="11" t="n">
        <x:v>1200</x:v>
      </x:c>
      <x:c r="J176" s="12" t="n">
        <x:v>0.2</x:v>
      </x:c>
      <x:c r="K176" s="11" t="n">
        <x:f>H176*I176*(1-J176)</x:f>
        <x:v>13440</x:v>
      </x:c>
      <x:c r="L176" s="11" t="n">
        <x:f>H176*(I176*0.62)</x:f>
        <x:v>10416</x:v>
      </x:c>
      <x:c r="M176" s="11" t="n">
        <x:f>K176-L176</x:f>
        <x:v>3024</x:v>
      </x:c>
      <x:c r="N176" s="8" t="str">
        <x:v>Partner</x:v>
      </x:c>
      <x:c r="O176" s="8" t="str">
        <x:v>Credit Card</x:v>
      </x:c>
      <x:c r="P176" s="8" t="str">
        <x:v>Closed Won</x:v>
      </x:c>
    </x:row>
    <x:row r="177">
      <x:c r="A177" s="8" t="str">
        <x:v>ORD-2025176</x:v>
      </x:c>
      <x:c r="B177" s="9" t="n">
        <x:v>45888</x:v>
      </x:c>
      <x:c r="C177" s="8" t="str">
        <x:v>West</x:v>
      </x:c>
      <x:c r="D177" s="8" t="str">
        <x:v>Mason Lee</x:v>
      </x:c>
      <x:c r="E177" s="8" t="str">
        <x:v>Harbor LLC</x:v>
      </x:c>
      <x:c r="F177" s="8" t="str">
        <x:v>Services</x:v>
      </x:c>
      <x:c r="G177" s="8" t="str">
        <x:v>Implementation</x:v>
      </x:c>
      <x:c r="H177" s="10" t="n">
        <x:v>5</x:v>
      </x:c>
      <x:c r="I177" s="11" t="n">
        <x:v>2500</x:v>
      </x:c>
      <x:c r="J177" s="12" t="n">
        <x:v>0.2</x:v>
      </x:c>
      <x:c r="K177" s="11" t="n">
        <x:f>H177*I177*(1-J177)</x:f>
        <x:v>10000</x:v>
      </x:c>
      <x:c r="L177" s="11" t="n">
        <x:f>H177*(I177*0.62)</x:f>
        <x:v>7750</x:v>
      </x:c>
      <x:c r="M177" s="11" t="n">
        <x:f>K177-L177</x:f>
        <x:v>2250</x:v>
      </x:c>
      <x:c r="N177" s="8" t="str">
        <x:v>Online</x:v>
      </x:c>
      <x:c r="O177" s="8" t="str">
        <x:v>Bank Transfer</x:v>
      </x:c>
      <x:c r="P177" s="8" t="str">
        <x:v>Shipped</x:v>
      </x:c>
    </x:row>
    <x:row r="178">
      <x:c r="A178" s="8" t="str">
        <x:v>ORD-2025177</x:v>
      </x:c>
      <x:c r="B178" s="9" t="n">
        <x:v>45915</x:v>
      </x:c>
      <x:c r="C178" s="8" t="str">
        <x:v>North</x:v>
      </x:c>
      <x:c r="D178" s="8" t="str">
        <x:v>Liam Chen</x:v>
      </x:c>
      <x:c r="E178" s="8" t="str">
        <x:v>Southridge Co</x:v>
      </x:c>
      <x:c r="F178" s="8" t="str">
        <x:v>Hardware</x:v>
      </x:c>
      <x:c r="G178" s="8" t="str">
        <x:v>Monitor 27</x:v>
      </x:c>
      <x:c r="H178" s="10" t="n">
        <x:v>5</x:v>
      </x:c>
      <x:c r="I178" s="11" t="n">
        <x:v>320</x:v>
      </x:c>
      <x:c r="J178" s="12" t="n">
        <x:v>0</x:v>
      </x:c>
      <x:c r="K178" s="11" t="n">
        <x:f>H178*I178*(1-J178)</x:f>
        <x:v>1600</x:v>
      </x:c>
      <x:c r="L178" s="11" t="n">
        <x:f>H178*(I178*0.62)</x:f>
        <x:v>992</x:v>
      </x:c>
      <x:c r="M178" s="11" t="n">
        <x:f>K178-L178</x:f>
        <x:v>608</x:v>
      </x:c>
      <x:c r="N178" s="8" t="str">
        <x:v>Direct</x:v>
      </x:c>
      <x:c r="O178" s="8" t="str">
        <x:v>Bank Transfer</x:v>
      </x:c>
      <x:c r="P178" s="8" t="str">
        <x:v>Closed Won</x:v>
      </x:c>
    </x:row>
    <x:row r="179">
      <x:c r="A179" s="8" t="str">
        <x:v>ORD-2025178</x:v>
      </x:c>
      <x:c r="B179" s="9" t="n">
        <x:v>45923</x:v>
      </x:c>
      <x:c r="C179" s="8" t="str">
        <x:v>East</x:v>
      </x:c>
      <x:c r="D179" s="8" t="str">
        <x:v>Liam Chen</x:v>
      </x:c>
      <x:c r="E179" s="8" t="str">
        <x:v>Prime LLC</x:v>
      </x:c>
      <x:c r="F179" s="8" t="str">
        <x:v>Hardware</x:v>
      </x:c>
      <x:c r="G179" s="8" t="str">
        <x:v>Dock Station</x:v>
      </x:c>
      <x:c r="H179" s="10" t="n">
        <x:v>7</x:v>
      </x:c>
      <x:c r="I179" s="11" t="n">
        <x:v>180</x:v>
      </x:c>
      <x:c r="J179" s="12" t="n">
        <x:v>0.15</x:v>
      </x:c>
      <x:c r="K179" s="11" t="n">
        <x:f>H179*I179*(1-J179)</x:f>
        <x:v>1071</x:v>
      </x:c>
      <x:c r="L179" s="11" t="n">
        <x:f>H179*(I179*0.62)</x:f>
        <x:v>781.1999999999999</x:v>
      </x:c>
      <x:c r="M179" s="11" t="n">
        <x:f>K179-L179</x:f>
        <x:v>289.80000000000007</x:v>
      </x:c>
      <x:c r="N179" s="8" t="str">
        <x:v>Online</x:v>
      </x:c>
      <x:c r="O179" s="8" t="str">
        <x:v>Invoice</x:v>
      </x:c>
      <x:c r="P179" s="8" t="str">
        <x:v>Closed Won</x:v>
      </x:c>
    </x:row>
    <x:row r="180">
      <x:c r="A180" s="8" t="str">
        <x:v>ORD-2025179</x:v>
      </x:c>
      <x:c r="B180" s="9" t="n">
        <x:v>45915</x:v>
      </x:c>
      <x:c r="C180" s="8" t="str">
        <x:v>South</x:v>
      </x:c>
      <x:c r="D180" s="8" t="str">
        <x:v>Emma Martin</x:v>
      </x:c>
      <x:c r="E180" s="8" t="str">
        <x:v>Ironwood Co</x:v>
      </x:c>
      <x:c r="F180" s="8" t="str">
        <x:v>Services</x:v>
      </x:c>
      <x:c r="G180" s="8" t="str">
        <x:v>Implementation</x:v>
      </x:c>
      <x:c r="H180" s="10" t="n">
        <x:v>5</x:v>
      </x:c>
      <x:c r="I180" s="11" t="n">
        <x:v>2500</x:v>
      </x:c>
      <x:c r="J180" s="12" t="n">
        <x:v>0</x:v>
      </x:c>
      <x:c r="K180" s="11" t="n">
        <x:f>H180*I180*(1-J180)</x:f>
        <x:v>12500</x:v>
      </x:c>
      <x:c r="L180" s="11" t="n">
        <x:f>H180*(I180*0.62)</x:f>
        <x:v>7750</x:v>
      </x:c>
      <x:c r="M180" s="11" t="n">
        <x:f>K180-L180</x:f>
        <x:v>4750</x:v>
      </x:c>
      <x:c r="N180" s="8" t="str">
        <x:v>Online</x:v>
      </x:c>
      <x:c r="O180" s="8" t="str">
        <x:v>Invoice</x:v>
      </x:c>
      <x:c r="P180" s="8" t="str">
        <x:v>Returned</x:v>
      </x:c>
    </x:row>
    <x:row r="181">
      <x:c r="A181" s="8" t="str">
        <x:v>ORD-2025180</x:v>
      </x:c>
      <x:c r="B181" s="9" t="n">
        <x:v>45699</x:v>
      </x:c>
      <x:c r="C181" s="8" t="str">
        <x:v>North</x:v>
      </x:c>
      <x:c r="D181" s="8" t="str">
        <x:v>Emma Martin</x:v>
      </x:c>
      <x:c r="E181" s="8" t="str">
        <x:v>Prime Inc</x:v>
      </x:c>
      <x:c r="F181" s="8" t="str">
        <x:v>Software</x:v>
      </x:c>
      <x:c r="G181" s="8" t="str">
        <x:v>CRM Pro</x:v>
      </x:c>
      <x:c r="H181" s="10" t="n">
        <x:v>21</x:v>
      </x:c>
      <x:c r="I181" s="11" t="n">
        <x:v>1200</x:v>
      </x:c>
      <x:c r="J181" s="12" t="n">
        <x:v>0</x:v>
      </x:c>
      <x:c r="K181" s="11" t="n">
        <x:f>H181*I181*(1-J181)</x:f>
        <x:v>25200</x:v>
      </x:c>
      <x:c r="L181" s="11" t="n">
        <x:f>H181*(I181*0.62)</x:f>
        <x:v>15624</x:v>
      </x:c>
      <x:c r="M181" s="11" t="n">
        <x:f>K181-L181</x:f>
        <x:v>9576</x:v>
      </x:c>
      <x:c r="N181" s="8" t="str">
        <x:v>Online</x:v>
      </x:c>
      <x:c r="O181" s="8" t="str">
        <x:v>PayPal</x:v>
      </x:c>
      <x:c r="P181" s="8" t="str">
        <x:v>Shipped</x:v>
      </x:c>
    </x:row>
    <x:row r="182">
      <x:c r="A182" s="8" t="str">
        <x:v>ORD-2025181</x:v>
      </x:c>
      <x:c r="B182" s="9" t="n">
        <x:v>45979</x:v>
      </x:c>
      <x:c r="C182" s="8" t="str">
        <x:v>Central</x:v>
      </x:c>
      <x:c r="D182" s="8" t="str">
        <x:v>Ethan Garcia</x:v>
      </x:c>
      <x:c r="E182" s="8" t="str">
        <x:v>Vertex Co</x:v>
      </x:c>
      <x:c r="F182" s="8" t="str">
        <x:v>Software</x:v>
      </x:c>
      <x:c r="G182" s="8" t="str">
        <x:v>ProjectFlow</x:v>
      </x:c>
      <x:c r="H182" s="10" t="n">
        <x:v>16</x:v>
      </x:c>
      <x:c r="I182" s="11" t="n">
        <x:v>700</x:v>
      </x:c>
      <x:c r="J182" s="12" t="n">
        <x:v>0</x:v>
      </x:c>
      <x:c r="K182" s="11" t="n">
        <x:f>H182*I182*(1-J182)</x:f>
        <x:v>11200</x:v>
      </x:c>
      <x:c r="L182" s="11" t="n">
        <x:f>H182*(I182*0.62)</x:f>
        <x:v>6944</x:v>
      </x:c>
      <x:c r="M182" s="11" t="n">
        <x:f>K182-L182</x:f>
        <x:v>4256</x:v>
      </x:c>
      <x:c r="N182" s="8" t="str">
        <x:v>Online</x:v>
      </x:c>
      <x:c r="O182" s="8" t="str">
        <x:v>PayPal</x:v>
      </x:c>
      <x:c r="P182" s="8" t="str">
        <x:v>Closed Won</x:v>
      </x:c>
    </x:row>
    <x:row r="183">
      <x:c r="A183" s="8" t="str">
        <x:v>ORD-2025182</x:v>
      </x:c>
      <x:c r="B183" s="9" t="n">
        <x:v>45738</x:v>
      </x:c>
      <x:c r="C183" s="8" t="str">
        <x:v>West</x:v>
      </x:c>
      <x:c r="D183" s="8" t="str">
        <x:v>Lucas Brown</x:v>
      </x:c>
      <x:c r="E183" s="8" t="str">
        <x:v>NorthStar Inc</x:v>
      </x:c>
      <x:c r="F183" s="8" t="str">
        <x:v>Software</x:v>
      </x:c>
      <x:c r="G183" s="8" t="str">
        <x:v>CRM Pro</x:v>
      </x:c>
      <x:c r="H183" s="10" t="n">
        <x:v>15</x:v>
      </x:c>
      <x:c r="I183" s="11" t="n">
        <x:v>1200</x:v>
      </x:c>
      <x:c r="J183" s="12" t="n">
        <x:v>0</x:v>
      </x:c>
      <x:c r="K183" s="11" t="n">
        <x:f>H183*I183*(1-J183)</x:f>
        <x:v>18000</x:v>
      </x:c>
      <x:c r="L183" s="11" t="n">
        <x:f>H183*(I183*0.62)</x:f>
        <x:v>11160</x:v>
      </x:c>
      <x:c r="M183" s="11" t="n">
        <x:f>K183-L183</x:f>
        <x:v>6840</x:v>
      </x:c>
      <x:c r="N183" s="8" t="str">
        <x:v>Partner</x:v>
      </x:c>
      <x:c r="O183" s="8" t="str">
        <x:v>Bank Transfer</x:v>
      </x:c>
      <x:c r="P183" s="8" t="str">
        <x:v>Closed Won</x:v>
      </x:c>
    </x:row>
    <x:row r="184">
      <x:c r="A184" s="8" t="str">
        <x:v>ORD-2025183</x:v>
      </x:c>
      <x:c r="B184" s="9" t="n">
        <x:v>45862</x:v>
      </x:c>
      <x:c r="C184" s="8" t="str">
        <x:v>South</x:v>
      </x:c>
      <x:c r="D184" s="8" t="str">
        <x:v>Sophia Kim</x:v>
      </x:c>
      <x:c r="E184" s="8" t="str">
        <x:v>Southridge Inc</x:v>
      </x:c>
      <x:c r="F184" s="8" t="str">
        <x:v>Services</x:v>
      </x:c>
      <x:c r="G184" s="8" t="str">
        <x:v>Support Plus</x:v>
      </x:c>
      <x:c r="H184" s="10" t="n">
        <x:v>18</x:v>
      </x:c>
      <x:c r="I184" s="11" t="n">
        <x:v>650</x:v>
      </x:c>
      <x:c r="J184" s="12" t="n">
        <x:v>0</x:v>
      </x:c>
      <x:c r="K184" s="11" t="n">
        <x:f>H184*I184*(1-J184)</x:f>
        <x:v>11700</x:v>
      </x:c>
      <x:c r="L184" s="11" t="n">
        <x:f>H184*(I184*0.62)</x:f>
        <x:v>7254</x:v>
      </x:c>
      <x:c r="M184" s="11" t="n">
        <x:f>K184-L184</x:f>
        <x:v>4446</x:v>
      </x:c>
      <x:c r="N184" s="8" t="str">
        <x:v>Partner</x:v>
      </x:c>
      <x:c r="O184" s="8" t="str">
        <x:v>Bank Transfer</x:v>
      </x:c>
      <x:c r="P184" s="8" t="str">
        <x:v>Pending</x:v>
      </x:c>
    </x:row>
    <x:row r="185">
      <x:c r="A185" s="8" t="str">
        <x:v>ORD-2025184</x:v>
      </x:c>
      <x:c r="B185" s="9" t="n">
        <x:v>45784</x:v>
      </x:c>
      <x:c r="C185" s="8" t="str">
        <x:v>South</x:v>
      </x:c>
      <x:c r="D185" s="8" t="str">
        <x:v>Liam Chen</x:v>
      </x:c>
      <x:c r="E185" s="8" t="str">
        <x:v>Summit Co</x:v>
      </x:c>
      <x:c r="F185" s="8" t="str">
        <x:v>Services</x:v>
      </x:c>
      <x:c r="G185" s="8" t="str">
        <x:v>Consulting Day</x:v>
      </x:c>
      <x:c r="H185" s="10" t="n">
        <x:v>10</x:v>
      </x:c>
      <x:c r="I185" s="11" t="n">
        <x:v>1400</x:v>
      </x:c>
      <x:c r="J185" s="12" t="n">
        <x:v>0.05</x:v>
      </x:c>
      <x:c r="K185" s="11" t="n">
        <x:f>H185*I185*(1-J185)</x:f>
        <x:v>13300</x:v>
      </x:c>
      <x:c r="L185" s="11" t="n">
        <x:f>H185*(I185*0.62)</x:f>
        <x:v>8680</x:v>
      </x:c>
      <x:c r="M185" s="11" t="n">
        <x:f>K185-L185</x:f>
        <x:v>4620</x:v>
      </x:c>
      <x:c r="N185" s="8" t="str">
        <x:v>Online</x:v>
      </x:c>
      <x:c r="O185" s="8" t="str">
        <x:v>PayPal</x:v>
      </x:c>
      <x:c r="P185" s="8" t="str">
        <x:v>Closed Won</x:v>
      </x:c>
    </x:row>
    <x:row r="186">
      <x:c r="A186" s="8" t="str">
        <x:v>ORD-2025185</x:v>
      </x:c>
      <x:c r="B186" s="9" t="n">
        <x:v>45953</x:v>
      </x:c>
      <x:c r="C186" s="8" t="str">
        <x:v>East</x:v>
      </x:c>
      <x:c r="D186" s="8" t="str">
        <x:v>Mia Johnson</x:v>
      </x:c>
      <x:c r="E186" s="8" t="str">
        <x:v>GreenLeaf LLC</x:v>
      </x:c>
      <x:c r="F186" s="8" t="str">
        <x:v>Hardware</x:v>
      </x:c>
      <x:c r="G186" s="8" t="str">
        <x:v>Dock Station</x:v>
      </x:c>
      <x:c r="H186" s="10" t="n">
        <x:v>16</x:v>
      </x:c>
      <x:c r="I186" s="11" t="n">
        <x:v>180</x:v>
      </x:c>
      <x:c r="J186" s="12" t="n">
        <x:v>0.1</x:v>
      </x:c>
      <x:c r="K186" s="11" t="n">
        <x:f>H186*I186*(1-J186)</x:f>
        <x:v>2592</x:v>
      </x:c>
      <x:c r="L186" s="11" t="n">
        <x:f>H186*(I186*0.62)</x:f>
        <x:v>1785.6</x:v>
      </x:c>
      <x:c r="M186" s="11" t="n">
        <x:f>K186-L186</x:f>
        <x:v>806.4000000000001</x:v>
      </x:c>
      <x:c r="N186" s="8" t="str">
        <x:v>Partner</x:v>
      </x:c>
      <x:c r="O186" s="8" t="str">
        <x:v>PayPal</x:v>
      </x:c>
      <x:c r="P186" s="8" t="str">
        <x:v>Returned</x:v>
      </x:c>
    </x:row>
    <x:row r="187">
      <x:c r="A187" s="8" t="str">
        <x:v>ORD-2025186</x:v>
      </x:c>
      <x:c r="B187" s="9" t="n">
        <x:v>45704</x:v>
      </x:c>
      <x:c r="C187" s="8" t="str">
        <x:v>West</x:v>
      </x:c>
      <x:c r="D187" s="8" t="str">
        <x:v>Mason Lee</x:v>
      </x:c>
      <x:c r="E187" s="8" t="str">
        <x:v>GoldenGate Co</x:v>
      </x:c>
      <x:c r="F187" s="8" t="str">
        <x:v>Accessories</x:v>
      </x:c>
      <x:c r="G187" s="8" t="str">
        <x:v>Wireless Mouse</x:v>
      </x:c>
      <x:c r="H187" s="10" t="n">
        <x:v>8</x:v>
      </x:c>
      <x:c r="I187" s="11" t="n">
        <x:v>40</x:v>
      </x:c>
      <x:c r="J187" s="12" t="n">
        <x:v>0</x:v>
      </x:c>
      <x:c r="K187" s="11" t="n">
        <x:f>H187*I187*(1-J187)</x:f>
        <x:v>320</x:v>
      </x:c>
      <x:c r="L187" s="11" t="n">
        <x:f>H187*(I187*0.62)</x:f>
        <x:v>198.4</x:v>
      </x:c>
      <x:c r="M187" s="11" t="n">
        <x:f>K187-L187</x:f>
        <x:v>121.6</x:v>
      </x:c>
      <x:c r="N187" s="8" t="str">
        <x:v>Online</x:v>
      </x:c>
      <x:c r="O187" s="8" t="str">
        <x:v>Invoice</x:v>
      </x:c>
      <x:c r="P187" s="8" t="str">
        <x:v>Closed Won</x:v>
      </x:c>
    </x:row>
    <x:row r="188">
      <x:c r="A188" s="8" t="str">
        <x:v>ORD-2025187</x:v>
      </x:c>
      <x:c r="B188" s="9" t="n">
        <x:v>45963</x:v>
      </x:c>
      <x:c r="C188" s="8" t="str">
        <x:v>West</x:v>
      </x:c>
      <x:c r="D188" s="8" t="str">
        <x:v>Ethan Garcia</x:v>
      </x:c>
      <x:c r="E188" s="8" t="str">
        <x:v>Maple LLC</x:v>
      </x:c>
      <x:c r="F188" s="8" t="str">
        <x:v>Services</x:v>
      </x:c>
      <x:c r="G188" s="8" t="str">
        <x:v>Consulting Day</x:v>
      </x:c>
      <x:c r="H188" s="10" t="n">
        <x:v>1</x:v>
      </x:c>
      <x:c r="I188" s="11" t="n">
        <x:v>1400</x:v>
      </x:c>
      <x:c r="J188" s="12" t="n">
        <x:v>0.2</x:v>
      </x:c>
      <x:c r="K188" s="11" t="n">
        <x:f>H188*I188*(1-J188)</x:f>
        <x:v>1120</x:v>
      </x:c>
      <x:c r="L188" s="11" t="n">
        <x:f>H188*(I188*0.62)</x:f>
        <x:v>868</x:v>
      </x:c>
      <x:c r="M188" s="11" t="n">
        <x:f>K188-L188</x:f>
        <x:v>252</x:v>
      </x:c>
      <x:c r="N188" s="8" t="str">
        <x:v>Direct</x:v>
      </x:c>
      <x:c r="O188" s="8" t="str">
        <x:v>PayPal</x:v>
      </x:c>
      <x:c r="P188" s="8" t="str">
        <x:v>Closed Won</x:v>
      </x:c>
    </x:row>
    <x:row r="189">
      <x:c r="A189" s="8" t="str">
        <x:v>ORD-2025188</x:v>
      </x:c>
      <x:c r="B189" s="9" t="n">
        <x:v>45864</x:v>
      </x:c>
      <x:c r="C189" s="8" t="str">
        <x:v>East</x:v>
      </x:c>
      <x:c r="D189" s="8" t="str">
        <x:v>Ava Patel</x:v>
      </x:c>
      <x:c r="E189" s="8" t="str">
        <x:v>SilverLine Group</x:v>
      </x:c>
      <x:c r="F189" s="8" t="str">
        <x:v>Services</x:v>
      </x:c>
      <x:c r="G189" s="8" t="str">
        <x:v>Support Plus</x:v>
      </x:c>
      <x:c r="H189" s="10" t="n">
        <x:v>2</x:v>
      </x:c>
      <x:c r="I189" s="11" t="n">
        <x:v>650</x:v>
      </x:c>
      <x:c r="J189" s="12" t="n">
        <x:v>0.1</x:v>
      </x:c>
      <x:c r="K189" s="11" t="n">
        <x:f>H189*I189*(1-J189)</x:f>
        <x:v>1170</x:v>
      </x:c>
      <x:c r="L189" s="11" t="n">
        <x:f>H189*(I189*0.62)</x:f>
        <x:v>806</x:v>
      </x:c>
      <x:c r="M189" s="11" t="n">
        <x:f>K189-L189</x:f>
        <x:v>364</x:v>
      </x:c>
      <x:c r="N189" s="8" t="str">
        <x:v>Online</x:v>
      </x:c>
      <x:c r="O189" s="8" t="str">
        <x:v>Bank Transfer</x:v>
      </x:c>
      <x:c r="P189" s="8" t="str">
        <x:v>Closed Won</x:v>
      </x:c>
    </x:row>
    <x:row r="190">
      <x:c r="A190" s="8" t="str">
        <x:v>ORD-2025189</x:v>
      </x:c>
      <x:c r="B190" s="9" t="n">
        <x:v>45855</x:v>
      </x:c>
      <x:c r="C190" s="8" t="str">
        <x:v>Central</x:v>
      </x:c>
      <x:c r="D190" s="8" t="str">
        <x:v>Olivia Wilson</x:v>
      </x:c>
      <x:c r="E190" s="8" t="str">
        <x:v>Maple Co</x:v>
      </x:c>
      <x:c r="F190" s="8" t="str">
        <x:v>Services</x:v>
      </x:c>
      <x:c r="G190" s="8" t="str">
        <x:v>Implementation</x:v>
      </x:c>
      <x:c r="H190" s="10" t="n">
        <x:v>9</x:v>
      </x:c>
      <x:c r="I190" s="11" t="n">
        <x:v>2500</x:v>
      </x:c>
      <x:c r="J190" s="12" t="n">
        <x:v>0.2</x:v>
      </x:c>
      <x:c r="K190" s="11" t="n">
        <x:f>H190*I190*(1-J190)</x:f>
        <x:v>18000</x:v>
      </x:c>
      <x:c r="L190" s="11" t="n">
        <x:f>H190*(I190*0.62)</x:f>
        <x:v>13950</x:v>
      </x:c>
      <x:c r="M190" s="11" t="n">
        <x:f>K190-L190</x:f>
        <x:v>4050</x:v>
      </x:c>
      <x:c r="N190" s="8" t="str">
        <x:v>Online</x:v>
      </x:c>
      <x:c r="O190" s="8" t="str">
        <x:v>Credit Card</x:v>
      </x:c>
      <x:c r="P190" s="8" t="str">
        <x:v>Closed Won</x:v>
      </x:c>
    </x:row>
    <x:row r="191">
      <x:c r="A191" s="8" t="str">
        <x:v>ORD-2025190</x:v>
      </x:c>
      <x:c r="B191" s="9" t="n">
        <x:v>45849</x:v>
      </x:c>
      <x:c r="C191" s="8" t="str">
        <x:v>East</x:v>
      </x:c>
      <x:c r="D191" s="8" t="str">
        <x:v>Mason Lee</x:v>
      </x:c>
      <x:c r="E191" s="8" t="str">
        <x:v>Harbor Co</x:v>
      </x:c>
      <x:c r="F191" s="8" t="str">
        <x:v>Software</x:v>
      </x:c>
      <x:c r="G191" s="8" t="str">
        <x:v>ProjectFlow</x:v>
      </x:c>
      <x:c r="H191" s="10" t="n">
        <x:v>25</x:v>
      </x:c>
      <x:c r="I191" s="11" t="n">
        <x:v>700</x:v>
      </x:c>
      <x:c r="J191" s="12" t="n">
        <x:v>0</x:v>
      </x:c>
      <x:c r="K191" s="11" t="n">
        <x:f>H191*I191*(1-J191)</x:f>
        <x:v>17500</x:v>
      </x:c>
      <x:c r="L191" s="11" t="n">
        <x:f>H191*(I191*0.62)</x:f>
        <x:v>10850</x:v>
      </x:c>
      <x:c r="M191" s="11" t="n">
        <x:f>K191-L191</x:f>
        <x:v>6650</x:v>
      </x:c>
      <x:c r="N191" s="8" t="str">
        <x:v>Direct</x:v>
      </x:c>
      <x:c r="O191" s="8" t="str">
        <x:v>PayPal</x:v>
      </x:c>
      <x:c r="P191" s="8" t="str">
        <x:v>Pending</x:v>
      </x:c>
    </x:row>
    <x:row r="192">
      <x:c r="A192" s="8" t="str">
        <x:v>ORD-2025191</x:v>
      </x:c>
      <x:c r="B192" s="9" t="n">
        <x:v>45728</x:v>
      </x:c>
      <x:c r="C192" s="8" t="str">
        <x:v>East</x:v>
      </x:c>
      <x:c r="D192" s="8" t="str">
        <x:v>Olivia Wilson</x:v>
      </x:c>
      <x:c r="E192" s="8" t="str">
        <x:v>Southridge Co</x:v>
      </x:c>
      <x:c r="F192" s="8" t="str">
        <x:v>Software</x:v>
      </x:c>
      <x:c r="G192" s="8" t="str">
        <x:v>CRM Pro</x:v>
      </x:c>
      <x:c r="H192" s="10" t="n">
        <x:v>15</x:v>
      </x:c>
      <x:c r="I192" s="11" t="n">
        <x:v>1200</x:v>
      </x:c>
      <x:c r="J192" s="12" t="n">
        <x:v>0</x:v>
      </x:c>
      <x:c r="K192" s="11" t="n">
        <x:f>H192*I192*(1-J192)</x:f>
        <x:v>18000</x:v>
      </x:c>
      <x:c r="L192" s="11" t="n">
        <x:f>H192*(I192*0.62)</x:f>
        <x:v>11160</x:v>
      </x:c>
      <x:c r="M192" s="11" t="n">
        <x:f>K192-L192</x:f>
        <x:v>6840</x:v>
      </x:c>
      <x:c r="N192" s="8" t="str">
        <x:v>Online</x:v>
      </x:c>
      <x:c r="O192" s="8" t="str">
        <x:v>Bank Transfer</x:v>
      </x:c>
      <x:c r="P192" s="8" t="str">
        <x:v>Closed Won</x:v>
      </x:c>
    </x:row>
    <x:row r="193">
      <x:c r="A193" s="8" t="str">
        <x:v>ORD-2025192</x:v>
      </x:c>
      <x:c r="B193" s="9" t="n">
        <x:v>45859</x:v>
      </x:c>
      <x:c r="C193" s="8" t="str">
        <x:v>Central</x:v>
      </x:c>
      <x:c r="D193" s="8" t="str">
        <x:v>Ethan Garcia</x:v>
      </x:c>
      <x:c r="E193" s="8" t="str">
        <x:v>Ironwood Group</x:v>
      </x:c>
      <x:c r="F193" s="8" t="str">
        <x:v>Services</x:v>
      </x:c>
      <x:c r="G193" s="8" t="str">
        <x:v>Training</x:v>
      </x:c>
      <x:c r="H193" s="10" t="n">
        <x:v>11</x:v>
      </x:c>
      <x:c r="I193" s="11" t="n">
        <x:v>900</x:v>
      </x:c>
      <x:c r="J193" s="12" t="n">
        <x:v>0.1</x:v>
      </x:c>
      <x:c r="K193" s="11" t="n">
        <x:f>H193*I193*(1-J193)</x:f>
        <x:v>8910</x:v>
      </x:c>
      <x:c r="L193" s="11" t="n">
        <x:f>H193*(I193*0.62)</x:f>
        <x:v>6138</x:v>
      </x:c>
      <x:c r="M193" s="11" t="n">
        <x:f>K193-L193</x:f>
        <x:v>2772</x:v>
      </x:c>
      <x:c r="N193" s="8" t="str">
        <x:v>Online</x:v>
      </x:c>
      <x:c r="O193" s="8" t="str">
        <x:v>PayPal</x:v>
      </x:c>
      <x:c r="P193" s="8" t="str">
        <x:v>Shipped</x:v>
      </x:c>
    </x:row>
    <x:row r="194">
      <x:c r="A194" s="8" t="str">
        <x:v>ORD-2025193</x:v>
      </x:c>
      <x:c r="B194" s="9" t="n">
        <x:v>45666</x:v>
      </x:c>
      <x:c r="C194" s="8" t="str">
        <x:v>East</x:v>
      </x:c>
      <x:c r="D194" s="8" t="str">
        <x:v>Sophia Kim</x:v>
      </x:c>
      <x:c r="E194" s="8" t="str">
        <x:v>Pioneer Co</x:v>
      </x:c>
      <x:c r="F194" s="8" t="str">
        <x:v>Services</x:v>
      </x:c>
      <x:c r="G194" s="8" t="str">
        <x:v>Consulting Day</x:v>
      </x:c>
      <x:c r="H194" s="10" t="n">
        <x:v>14</x:v>
      </x:c>
      <x:c r="I194" s="11" t="n">
        <x:v>1400</x:v>
      </x:c>
      <x:c r="J194" s="12" t="n">
        <x:v>0.1</x:v>
      </x:c>
      <x:c r="K194" s="11" t="n">
        <x:f>H194*I194*(1-J194)</x:f>
        <x:v>17640</x:v>
      </x:c>
      <x:c r="L194" s="11" t="n">
        <x:f>H194*(I194*0.62)</x:f>
        <x:v>12152</x:v>
      </x:c>
      <x:c r="M194" s="11" t="n">
        <x:f>K194-L194</x:f>
        <x:v>5488</x:v>
      </x:c>
      <x:c r="N194" s="8" t="str">
        <x:v>Partner</x:v>
      </x:c>
      <x:c r="O194" s="8" t="str">
        <x:v>Credit Card</x:v>
      </x:c>
      <x:c r="P194" s="8" t="str">
        <x:v>Shipped</x:v>
      </x:c>
    </x:row>
    <x:row r="195">
      <x:c r="A195" s="8" t="str">
        <x:v>ORD-2025194</x:v>
      </x:c>
      <x:c r="B195" s="9" t="n">
        <x:v>45684</x:v>
      </x:c>
      <x:c r="C195" s="8" t="str">
        <x:v>Central</x:v>
      </x:c>
      <x:c r="D195" s="8" t="str">
        <x:v>Olivia Wilson</x:v>
      </x:c>
      <x:c r="E195" s="8" t="str">
        <x:v>GreenLeaf Inc</x:v>
      </x:c>
      <x:c r="F195" s="8" t="str">
        <x:v>Services</x:v>
      </x:c>
      <x:c r="G195" s="8" t="str">
        <x:v>Training</x:v>
      </x:c>
      <x:c r="H195" s="10" t="n">
        <x:v>17</x:v>
      </x:c>
      <x:c r="I195" s="11" t="n">
        <x:v>900</x:v>
      </x:c>
      <x:c r="J195" s="12" t="n">
        <x:v>0.15</x:v>
      </x:c>
      <x:c r="K195" s="11" t="n">
        <x:f>H195*I195*(1-J195)</x:f>
        <x:v>13005</x:v>
      </x:c>
      <x:c r="L195" s="11" t="n">
        <x:f>H195*(I195*0.62)</x:f>
        <x:v>9486</x:v>
      </x:c>
      <x:c r="M195" s="11" t="n">
        <x:f>K195-L195</x:f>
        <x:v>3519</x:v>
      </x:c>
      <x:c r="N195" s="8" t="str">
        <x:v>Online</x:v>
      </x:c>
      <x:c r="O195" s="8" t="str">
        <x:v>PayPal</x:v>
      </x:c>
      <x:c r="P195" s="8" t="str">
        <x:v>Closed Won</x:v>
      </x:c>
    </x:row>
    <x:row r="196">
      <x:c r="A196" s="8" t="str">
        <x:v>ORD-2025195</x:v>
      </x:c>
      <x:c r="B196" s="9" t="n">
        <x:v>45951</x:v>
      </x:c>
      <x:c r="C196" s="8" t="str">
        <x:v>North</x:v>
      </x:c>
      <x:c r="D196" s="8" t="str">
        <x:v>Mia Johnson</x:v>
      </x:c>
      <x:c r="E196" s="8" t="str">
        <x:v>Acme Co</x:v>
      </x:c>
      <x:c r="F196" s="8" t="str">
        <x:v>Hardware</x:v>
      </x:c>
      <x:c r="G196" s="8" t="str">
        <x:v>Laptop X</x:v>
      </x:c>
      <x:c r="H196" s="10" t="n">
        <x:v>15</x:v>
      </x:c>
      <x:c r="I196" s="11" t="n">
        <x:v>1500</x:v>
      </x:c>
      <x:c r="J196" s="12" t="n">
        <x:v>0</x:v>
      </x:c>
      <x:c r="K196" s="11" t="n">
        <x:f>H196*I196*(1-J196)</x:f>
        <x:v>22500</x:v>
      </x:c>
      <x:c r="L196" s="11" t="n">
        <x:f>H196*(I196*0.62)</x:f>
        <x:v>13950</x:v>
      </x:c>
      <x:c r="M196" s="11" t="n">
        <x:f>K196-L196</x:f>
        <x:v>8550</x:v>
      </x:c>
      <x:c r="N196" s="8" t="str">
        <x:v>Partner</x:v>
      </x:c>
      <x:c r="O196" s="8" t="str">
        <x:v>Bank Transfer</x:v>
      </x:c>
      <x:c r="P196" s="8" t="str">
        <x:v>Closed Won</x:v>
      </x:c>
    </x:row>
    <x:row r="197">
      <x:c r="A197" s="8" t="str">
        <x:v>ORD-2025196</x:v>
      </x:c>
      <x:c r="B197" s="9" t="n">
        <x:v>45914</x:v>
      </x:c>
      <x:c r="C197" s="8" t="str">
        <x:v>Central</x:v>
      </x:c>
      <x:c r="D197" s="8" t="str">
        <x:v>Olivia Wilson</x:v>
      </x:c>
      <x:c r="E197" s="8" t="str">
        <x:v>Summit Group</x:v>
      </x:c>
      <x:c r="F197" s="8" t="str">
        <x:v>Hardware</x:v>
      </x:c>
      <x:c r="G197" s="8" t="str">
        <x:v>Monitor 27</x:v>
      </x:c>
      <x:c r="H197" s="10" t="n">
        <x:v>23</x:v>
      </x:c>
      <x:c r="I197" s="11" t="n">
        <x:v>320</x:v>
      </x:c>
      <x:c r="J197" s="12" t="n">
        <x:v>0</x:v>
      </x:c>
      <x:c r="K197" s="11" t="n">
        <x:f>H197*I197*(1-J197)</x:f>
        <x:v>7360</x:v>
      </x:c>
      <x:c r="L197" s="11" t="n">
        <x:f>H197*(I197*0.62)</x:f>
        <x:v>4563.2</x:v>
      </x:c>
      <x:c r="M197" s="11" t="n">
        <x:f>K197-L197</x:f>
        <x:v>2796.8</x:v>
      </x:c>
      <x:c r="N197" s="8" t="str">
        <x:v>Online</x:v>
      </x:c>
      <x:c r="O197" s="8" t="str">
        <x:v>Bank Transfer</x:v>
      </x:c>
      <x:c r="P197" s="8" t="str">
        <x:v>Shipped</x:v>
      </x:c>
    </x:row>
    <x:row r="198">
      <x:c r="A198" s="8" t="str">
        <x:v>ORD-2025197</x:v>
      </x:c>
      <x:c r="B198" s="9" t="n">
        <x:v>45818</x:v>
      </x:c>
      <x:c r="C198" s="8" t="str">
        <x:v>South</x:v>
      </x:c>
      <x:c r="D198" s="8" t="str">
        <x:v>Olivia Wilson</x:v>
      </x:c>
      <x:c r="E198" s="8" t="str">
        <x:v>Maple LLC</x:v>
      </x:c>
      <x:c r="F198" s="8" t="str">
        <x:v>Accessories</x:v>
      </x:c>
      <x:c r="G198" s="8" t="str">
        <x:v>Headset</x:v>
      </x:c>
      <x:c r="H198" s="10" t="n">
        <x:v>11</x:v>
      </x:c>
      <x:c r="I198" s="11" t="n">
        <x:v>85</x:v>
      </x:c>
      <x:c r="J198" s="12" t="n">
        <x:v>0.1</x:v>
      </x:c>
      <x:c r="K198" s="11" t="n">
        <x:f>H198*I198*(1-J198)</x:f>
        <x:v>841.5</x:v>
      </x:c>
      <x:c r="L198" s="11" t="n">
        <x:f>H198*(I198*0.62)</x:f>
        <x:v>579.7</x:v>
      </x:c>
      <x:c r="M198" s="11" t="n">
        <x:f>K198-L198</x:f>
        <x:v>261.79999999999995</x:v>
      </x:c>
      <x:c r="N198" s="8" t="str">
        <x:v>Partner</x:v>
      </x:c>
      <x:c r="O198" s="8" t="str">
        <x:v>Invoice</x:v>
      </x:c>
      <x:c r="P198" s="8" t="str">
        <x:v>Shipped</x:v>
      </x:c>
    </x:row>
    <x:row r="199">
      <x:c r="A199" s="8" t="str">
        <x:v>ORD-2025198</x:v>
      </x:c>
      <x:c r="B199" s="9" t="n">
        <x:v>45800</x:v>
      </x:c>
      <x:c r="C199" s="8" t="str">
        <x:v>Central</x:v>
      </x:c>
      <x:c r="D199" s="8" t="str">
        <x:v>Ethan Garcia</x:v>
      </x:c>
      <x:c r="E199" s="8" t="str">
        <x:v>Cedar LLC</x:v>
      </x:c>
      <x:c r="F199" s="8" t="str">
        <x:v>Hardware</x:v>
      </x:c>
      <x:c r="G199" s="8" t="str">
        <x:v>Tablet Air</x:v>
      </x:c>
      <x:c r="H199" s="10" t="n">
        <x:v>10</x:v>
      </x:c>
      <x:c r="I199" s="11" t="n">
        <x:v>820</x:v>
      </x:c>
      <x:c r="J199" s="12" t="n">
        <x:v>0.2</x:v>
      </x:c>
      <x:c r="K199" s="11" t="n">
        <x:f>H199*I199*(1-J199)</x:f>
        <x:v>6560</x:v>
      </x:c>
      <x:c r="L199" s="11" t="n">
        <x:f>H199*(I199*0.62)</x:f>
        <x:v>5084</x:v>
      </x:c>
      <x:c r="M199" s="11" t="n">
        <x:f>K199-L199</x:f>
        <x:v>1476</x:v>
      </x:c>
      <x:c r="N199" s="8" t="str">
        <x:v>Partner</x:v>
      </x:c>
      <x:c r="O199" s="8" t="str">
        <x:v>Bank Transfer</x:v>
      </x:c>
      <x:c r="P199" s="8" t="str">
        <x:v>Shipped</x:v>
      </x:c>
    </x:row>
    <x:row r="200">
      <x:c r="A200" s="8" t="str">
        <x:v>ORD-2025199</x:v>
      </x:c>
      <x:c r="B200" s="9" t="n">
        <x:v>45903</x:v>
      </x:c>
      <x:c r="C200" s="8" t="str">
        <x:v>East</x:v>
      </x:c>
      <x:c r="D200" s="8" t="str">
        <x:v>Mason Lee</x:v>
      </x:c>
      <x:c r="E200" s="8" t="str">
        <x:v>Prime Group</x:v>
      </x:c>
      <x:c r="F200" s="8" t="str">
        <x:v>Accessories</x:v>
      </x:c>
      <x:c r="G200" s="8" t="str">
        <x:v>Webcam HD</x:v>
      </x:c>
      <x:c r="H200" s="10" t="n">
        <x:v>10</x:v>
      </x:c>
      <x:c r="I200" s="11" t="n">
        <x:v>110</x:v>
      </x:c>
      <x:c r="J200" s="12" t="n">
        <x:v>0</x:v>
      </x:c>
      <x:c r="K200" s="11" t="n">
        <x:f>H200*I200*(1-J200)</x:f>
        <x:v>1100</x:v>
      </x:c>
      <x:c r="L200" s="11" t="n">
        <x:f>H200*(I200*0.62)</x:f>
        <x:v>682</x:v>
      </x:c>
      <x:c r="M200" s="11" t="n">
        <x:f>K200-L200</x:f>
        <x:v>418</x:v>
      </x:c>
      <x:c r="N200" s="8" t="str">
        <x:v>Online</x:v>
      </x:c>
      <x:c r="O200" s="8" t="str">
        <x:v>PayPal</x:v>
      </x:c>
      <x:c r="P200" s="8" t="str">
        <x:v>Cancelled</x:v>
      </x:c>
    </x:row>
    <x:row r="201">
      <x:c r="A201" s="8" t="str">
        <x:v>ORD-2025200</x:v>
      </x:c>
      <x:c r="B201" s="9" t="n">
        <x:v>45732</x:v>
      </x:c>
      <x:c r="C201" s="8" t="str">
        <x:v>East</x:v>
      </x:c>
      <x:c r="D201" s="8" t="str">
        <x:v>Ava Patel</x:v>
      </x:c>
      <x:c r="E201" s="8" t="str">
        <x:v>Vertex LLC</x:v>
      </x:c>
      <x:c r="F201" s="8" t="str">
        <x:v>Accessories</x:v>
      </x:c>
      <x:c r="G201" s="8" t="str">
        <x:v>Webcam HD</x:v>
      </x:c>
      <x:c r="H201" s="10" t="n">
        <x:v>23</x:v>
      </x:c>
      <x:c r="I201" s="11" t="n">
        <x:v>110</x:v>
      </x:c>
      <x:c r="J201" s="12" t="n">
        <x:v>0</x:v>
      </x:c>
      <x:c r="K201" s="11" t="n">
        <x:f>H201*I201*(1-J201)</x:f>
        <x:v>2530</x:v>
      </x:c>
      <x:c r="L201" s="11" t="n">
        <x:f>H201*(I201*0.62)</x:f>
        <x:v>1568.6000000000001</x:v>
      </x:c>
      <x:c r="M201" s="11" t="n">
        <x:f>K201-L201</x:f>
        <x:v>961.3999999999999</x:v>
      </x:c>
      <x:c r="N201" s="8" t="str">
        <x:v>Partner</x:v>
      </x:c>
      <x:c r="O201" s="8" t="str">
        <x:v>PayPal</x:v>
      </x:c>
      <x:c r="P201" s="8" t="str">
        <x:v>Shipped</x:v>
      </x:c>
    </x:row>
    <x:row r="202">
      <x:c r="A202" s="8" t="str">
        <x:v>ORD-2025201</x:v>
      </x:c>
      <x:c r="B202" s="9" t="n">
        <x:v>45761</x:v>
      </x:c>
      <x:c r="C202" s="8" t="str">
        <x:v>Central</x:v>
      </x:c>
      <x:c r="D202" s="8" t="str">
        <x:v>Ethan Garcia</x:v>
      </x:c>
      <x:c r="E202" s="8" t="str">
        <x:v>Maple Group</x:v>
      </x:c>
      <x:c r="F202" s="8" t="str">
        <x:v>Accessories</x:v>
      </x:c>
      <x:c r="G202" s="8" t="str">
        <x:v>Keyboard Pro</x:v>
      </x:c>
      <x:c r="H202" s="10" t="n">
        <x:v>23</x:v>
      </x:c>
      <x:c r="I202" s="11" t="n">
        <x:v>95</x:v>
      </x:c>
      <x:c r="J202" s="12" t="n">
        <x:v>0</x:v>
      </x:c>
      <x:c r="K202" s="11" t="n">
        <x:f>H202*I202*(1-J202)</x:f>
        <x:v>2185</x:v>
      </x:c>
      <x:c r="L202" s="11" t="n">
        <x:f>H202*(I202*0.62)</x:f>
        <x:v>1354.7</x:v>
      </x:c>
      <x:c r="M202" s="11" t="n">
        <x:f>K202-L202</x:f>
        <x:v>830.3</x:v>
      </x:c>
      <x:c r="N202" s="8" t="str">
        <x:v>Direct</x:v>
      </x:c>
      <x:c r="O202" s="8" t="str">
        <x:v>Credit Card</x:v>
      </x:c>
      <x:c r="P202" s="8" t="str">
        <x:v>Shipped</x:v>
      </x:c>
    </x:row>
    <x:row r="203">
      <x:c r="A203" s="8" t="str">
        <x:v>ORD-2025202</x:v>
      </x:c>
      <x:c r="B203" s="9" t="n">
        <x:v>45683</x:v>
      </x:c>
      <x:c r="C203" s="8" t="str">
        <x:v>Central</x:v>
      </x:c>
      <x:c r="D203" s="8" t="str">
        <x:v>Mia Johnson</x:v>
      </x:c>
      <x:c r="E203" s="8" t="str">
        <x:v>Cedar Inc</x:v>
      </x:c>
      <x:c r="F203" s="8" t="str">
        <x:v>Hardware</x:v>
      </x:c>
      <x:c r="G203" s="8" t="str">
        <x:v>Tablet Air</x:v>
      </x:c>
      <x:c r="H203" s="10" t="n">
        <x:v>2</x:v>
      </x:c>
      <x:c r="I203" s="11" t="n">
        <x:v>820</x:v>
      </x:c>
      <x:c r="J203" s="12" t="n">
        <x:v>0</x:v>
      </x:c>
      <x:c r="K203" s="11" t="n">
        <x:f>H203*I203*(1-J203)</x:f>
        <x:v>1640</x:v>
      </x:c>
      <x:c r="L203" s="11" t="n">
        <x:f>H203*(I203*0.62)</x:f>
        <x:v>1016.8</x:v>
      </x:c>
      <x:c r="M203" s="11" t="n">
        <x:f>K203-L203</x:f>
        <x:v>623.2</x:v>
      </x:c>
      <x:c r="N203" s="8" t="str">
        <x:v>Partner</x:v>
      </x:c>
      <x:c r="O203" s="8" t="str">
        <x:v>Invoice</x:v>
      </x:c>
      <x:c r="P203" s="8" t="str">
        <x:v>Shipped</x:v>
      </x:c>
    </x:row>
    <x:row r="204">
      <x:c r="A204" s="8" t="str">
        <x:v>ORD-2025203</x:v>
      </x:c>
      <x:c r="B204" s="9" t="n">
        <x:v>45660</x:v>
      </x:c>
      <x:c r="C204" s="8" t="str">
        <x:v>Central</x:v>
      </x:c>
      <x:c r="D204" s="8" t="str">
        <x:v>Noah Davis</x:v>
      </x:c>
      <x:c r="E204" s="8" t="str">
        <x:v>RedStone LLC</x:v>
      </x:c>
      <x:c r="F204" s="8" t="str">
        <x:v>Software</x:v>
      </x:c>
      <x:c r="G204" s="8" t="str">
        <x:v>Analytics Cloud</x:v>
      </x:c>
      <x:c r="H204" s="10" t="n">
        <x:v>21</x:v>
      </x:c>
      <x:c r="I204" s="11" t="n">
        <x:v>1800</x:v>
      </x:c>
      <x:c r="J204" s="12" t="n">
        <x:v>0.05</x:v>
      </x:c>
      <x:c r="K204" s="11" t="n">
        <x:f>H204*I204*(1-J204)</x:f>
        <x:v>35910</x:v>
      </x:c>
      <x:c r="L204" s="11" t="n">
        <x:f>H204*(I204*0.62)</x:f>
        <x:v>23436</x:v>
      </x:c>
      <x:c r="M204" s="11" t="n">
        <x:f>K204-L204</x:f>
        <x:v>12474</x:v>
      </x:c>
      <x:c r="N204" s="8" t="str">
        <x:v>Partner</x:v>
      </x:c>
      <x:c r="O204" s="8" t="str">
        <x:v>Bank Transfer</x:v>
      </x:c>
      <x:c r="P204" s="8" t="str">
        <x:v>Shipped</x:v>
      </x:c>
    </x:row>
    <x:row r="205">
      <x:c r="A205" s="8" t="str">
        <x:v>ORD-2025204</x:v>
      </x:c>
      <x:c r="B205" s="9" t="n">
        <x:v>45804</x:v>
      </x:c>
      <x:c r="C205" s="8" t="str">
        <x:v>North</x:v>
      </x:c>
      <x:c r="D205" s="8" t="str">
        <x:v>Liam Chen</x:v>
      </x:c>
      <x:c r="E205" s="8" t="str">
        <x:v>Ironwood Inc</x:v>
      </x:c>
      <x:c r="F205" s="8" t="str">
        <x:v>Services</x:v>
      </x:c>
      <x:c r="G205" s="8" t="str">
        <x:v>Support Plus</x:v>
      </x:c>
      <x:c r="H205" s="10" t="n">
        <x:v>8</x:v>
      </x:c>
      <x:c r="I205" s="11" t="n">
        <x:v>650</x:v>
      </x:c>
      <x:c r="J205" s="12" t="n">
        <x:v>0.1</x:v>
      </x:c>
      <x:c r="K205" s="11" t="n">
        <x:f>H205*I205*(1-J205)</x:f>
        <x:v>4680</x:v>
      </x:c>
      <x:c r="L205" s="11" t="n">
        <x:f>H205*(I205*0.62)</x:f>
        <x:v>3224</x:v>
      </x:c>
      <x:c r="M205" s="11" t="n">
        <x:f>K205-L205</x:f>
        <x:v>1456</x:v>
      </x:c>
      <x:c r="N205" s="8" t="str">
        <x:v>Online</x:v>
      </x:c>
      <x:c r="O205" s="8" t="str">
        <x:v>Credit Card</x:v>
      </x:c>
      <x:c r="P205" s="8" t="str">
        <x:v>Cancelled</x:v>
      </x:c>
    </x:row>
    <x:row r="206">
      <x:c r="A206" s="8" t="str">
        <x:v>ORD-2025205</x:v>
      </x:c>
      <x:c r="B206" s="9" t="n">
        <x:v>45748</x:v>
      </x:c>
      <x:c r="C206" s="8" t="str">
        <x:v>North</x:v>
      </x:c>
      <x:c r="D206" s="8" t="str">
        <x:v>Lucas Brown</x:v>
      </x:c>
      <x:c r="E206" s="8" t="str">
        <x:v>NorthStar Group</x:v>
      </x:c>
      <x:c r="F206" s="8" t="str">
        <x:v>Hardware</x:v>
      </x:c>
      <x:c r="G206" s="8" t="str">
        <x:v>Monitor 27</x:v>
      </x:c>
      <x:c r="H206" s="10" t="n">
        <x:v>6</x:v>
      </x:c>
      <x:c r="I206" s="11" t="n">
        <x:v>320</x:v>
      </x:c>
      <x:c r="J206" s="12" t="n">
        <x:v>0.15</x:v>
      </x:c>
      <x:c r="K206" s="11" t="n">
        <x:f>H206*I206*(1-J206)</x:f>
        <x:v>1632</x:v>
      </x:c>
      <x:c r="L206" s="11" t="n">
        <x:f>H206*(I206*0.62)</x:f>
        <x:v>1190.4</x:v>
      </x:c>
      <x:c r="M206" s="11" t="n">
        <x:f>K206-L206</x:f>
        <x:v>441.5999999999999</x:v>
      </x:c>
      <x:c r="N206" s="8" t="str">
        <x:v>Partner</x:v>
      </x:c>
      <x:c r="O206" s="8" t="str">
        <x:v>Credit Card</x:v>
      </x:c>
      <x:c r="P206" s="8" t="str">
        <x:v>Closed Won</x:v>
      </x:c>
    </x:row>
    <x:row r="207">
      <x:c r="A207" s="8" t="str">
        <x:v>ORD-2025206</x:v>
      </x:c>
      <x:c r="B207" s="9" t="n">
        <x:v>45803</x:v>
      </x:c>
      <x:c r="C207" s="8" t="str">
        <x:v>West</x:v>
      </x:c>
      <x:c r="D207" s="8" t="str">
        <x:v>Mason Lee</x:v>
      </x:c>
      <x:c r="E207" s="8" t="str">
        <x:v>Southridge Group</x:v>
      </x:c>
      <x:c r="F207" s="8" t="str">
        <x:v>Software</x:v>
      </x:c>
      <x:c r="G207" s="8" t="str">
        <x:v>HR Suite</x:v>
      </x:c>
      <x:c r="H207" s="10" t="n">
        <x:v>16</x:v>
      </x:c>
      <x:c r="I207" s="11" t="n">
        <x:v>950</x:v>
      </x:c>
      <x:c r="J207" s="12" t="n">
        <x:v>0</x:v>
      </x:c>
      <x:c r="K207" s="11" t="n">
        <x:f>H207*I207*(1-J207)</x:f>
        <x:v>15200</x:v>
      </x:c>
      <x:c r="L207" s="11" t="n">
        <x:f>H207*(I207*0.62)</x:f>
        <x:v>9424</x:v>
      </x:c>
      <x:c r="M207" s="11" t="n">
        <x:f>K207-L207</x:f>
        <x:v>5776</x:v>
      </x:c>
      <x:c r="N207" s="8" t="str">
        <x:v>Online</x:v>
      </x:c>
      <x:c r="O207" s="8" t="str">
        <x:v>PayPal</x:v>
      </x:c>
      <x:c r="P207" s="8" t="str">
        <x:v>Closed Won</x:v>
      </x:c>
    </x:row>
    <x:row r="208">
      <x:c r="A208" s="8" t="str">
        <x:v>ORD-2025207</x:v>
      </x:c>
      <x:c r="B208" s="9" t="n">
        <x:v>45741</x:v>
      </x:c>
      <x:c r="C208" s="8" t="str">
        <x:v>West</x:v>
      </x:c>
      <x:c r="D208" s="8" t="str">
        <x:v>Ethan Garcia</x:v>
      </x:c>
      <x:c r="E208" s="8" t="str">
        <x:v>GreenLeaf Group</x:v>
      </x:c>
      <x:c r="F208" s="8" t="str">
        <x:v>Software</x:v>
      </x:c>
      <x:c r="G208" s="8" t="str">
        <x:v>HR Suite</x:v>
      </x:c>
      <x:c r="H208" s="10" t="n">
        <x:v>1</x:v>
      </x:c>
      <x:c r="I208" s="11" t="n">
        <x:v>950</x:v>
      </x:c>
      <x:c r="J208" s="12" t="n">
        <x:v>0.15</x:v>
      </x:c>
      <x:c r="K208" s="11" t="n">
        <x:f>H208*I208*(1-J208)</x:f>
        <x:v>807.5</x:v>
      </x:c>
      <x:c r="L208" s="11" t="n">
        <x:f>H208*(I208*0.62)</x:f>
        <x:v>589</x:v>
      </x:c>
      <x:c r="M208" s="11" t="n">
        <x:f>K208-L208</x:f>
        <x:v>218.5</x:v>
      </x:c>
      <x:c r="N208" s="8" t="str">
        <x:v>Partner</x:v>
      </x:c>
      <x:c r="O208" s="8" t="str">
        <x:v>Invoice</x:v>
      </x:c>
      <x:c r="P208" s="8" t="str">
        <x:v>Shipped</x:v>
      </x:c>
    </x:row>
    <x:row r="209">
      <x:c r="A209" s="8" t="str">
        <x:v>ORD-2025208</x:v>
      </x:c>
      <x:c r="B209" s="9" t="n">
        <x:v>45970</x:v>
      </x:c>
      <x:c r="C209" s="8" t="str">
        <x:v>West</x:v>
      </x:c>
      <x:c r="D209" s="8" t="str">
        <x:v>Lucas Brown</x:v>
      </x:c>
      <x:c r="E209" s="8" t="str">
        <x:v>Southridge Inc</x:v>
      </x:c>
      <x:c r="F209" s="8" t="str">
        <x:v>Hardware</x:v>
      </x:c>
      <x:c r="G209" s="8" t="str">
        <x:v>Tablet Air</x:v>
      </x:c>
      <x:c r="H209" s="10" t="n">
        <x:v>11</x:v>
      </x:c>
      <x:c r="I209" s="11" t="n">
        <x:v>820</x:v>
      </x:c>
      <x:c r="J209" s="12" t="n">
        <x:v>0</x:v>
      </x:c>
      <x:c r="K209" s="11" t="n">
        <x:f>H209*I209*(1-J209)</x:f>
        <x:v>9020</x:v>
      </x:c>
      <x:c r="L209" s="11" t="n">
        <x:f>H209*(I209*0.62)</x:f>
        <x:v>5592.4</x:v>
      </x:c>
      <x:c r="M209" s="11" t="n">
        <x:f>K209-L209</x:f>
        <x:v>3427.6000000000004</x:v>
      </x:c>
      <x:c r="N209" s="8" t="str">
        <x:v>Partner</x:v>
      </x:c>
      <x:c r="O209" s="8" t="str">
        <x:v>Credit Card</x:v>
      </x:c>
      <x:c r="P209" s="8" t="str">
        <x:v>Closed Won</x:v>
      </x:c>
    </x:row>
    <x:row r="210">
      <x:c r="A210" s="8" t="str">
        <x:v>ORD-2025209</x:v>
      </x:c>
      <x:c r="B210" s="9" t="n">
        <x:v>45823</x:v>
      </x:c>
      <x:c r="C210" s="8" t="str">
        <x:v>South</x:v>
      </x:c>
      <x:c r="D210" s="8" t="str">
        <x:v>Ava Patel</x:v>
      </x:c>
      <x:c r="E210" s="8" t="str">
        <x:v>Prime Inc</x:v>
      </x:c>
      <x:c r="F210" s="8" t="str">
        <x:v>Hardware</x:v>
      </x:c>
      <x:c r="G210" s="8" t="str">
        <x:v>Monitor 27</x:v>
      </x:c>
      <x:c r="H210" s="10" t="n">
        <x:v>13</x:v>
      </x:c>
      <x:c r="I210" s="11" t="n">
        <x:v>320</x:v>
      </x:c>
      <x:c r="J210" s="12" t="n">
        <x:v>0</x:v>
      </x:c>
      <x:c r="K210" s="11" t="n">
        <x:f>H210*I210*(1-J210)</x:f>
        <x:v>4160</x:v>
      </x:c>
      <x:c r="L210" s="11" t="n">
        <x:f>H210*(I210*0.62)</x:f>
        <x:v>2579.2000000000003</x:v>
      </x:c>
      <x:c r="M210" s="11" t="n">
        <x:f>K210-L210</x:f>
        <x:v>1580.7999999999997</x:v>
      </x:c>
      <x:c r="N210" s="8" t="str">
        <x:v>Partner</x:v>
      </x:c>
      <x:c r="O210" s="8" t="str">
        <x:v>Invoice</x:v>
      </x:c>
      <x:c r="P210" s="8" t="str">
        <x:v>Cancelled</x:v>
      </x:c>
    </x:row>
    <x:row r="211">
      <x:c r="A211" s="8" t="str">
        <x:v>ORD-2025210</x:v>
      </x:c>
      <x:c r="B211" s="9" t="n">
        <x:v>45791</x:v>
      </x:c>
      <x:c r="C211" s="8" t="str">
        <x:v>East</x:v>
      </x:c>
      <x:c r="D211" s="8" t="str">
        <x:v>Mia Johnson</x:v>
      </x:c>
      <x:c r="E211" s="8" t="str">
        <x:v>Summit Group</x:v>
      </x:c>
      <x:c r="F211" s="8" t="str">
        <x:v>Services</x:v>
      </x:c>
      <x:c r="G211" s="8" t="str">
        <x:v>Implementation</x:v>
      </x:c>
      <x:c r="H211" s="10" t="n">
        <x:v>22</x:v>
      </x:c>
      <x:c r="I211" s="11" t="n">
        <x:v>2500</x:v>
      </x:c>
      <x:c r="J211" s="12" t="n">
        <x:v>0</x:v>
      </x:c>
      <x:c r="K211" s="11" t="n">
        <x:f>H211*I211*(1-J211)</x:f>
        <x:v>55000</x:v>
      </x:c>
      <x:c r="L211" s="11" t="n">
        <x:f>H211*(I211*0.62)</x:f>
        <x:v>34100</x:v>
      </x:c>
      <x:c r="M211" s="11" t="n">
        <x:f>K211-L211</x:f>
        <x:v>20900</x:v>
      </x:c>
      <x:c r="N211" s="8" t="str">
        <x:v>Partner</x:v>
      </x:c>
      <x:c r="O211" s="8" t="str">
        <x:v>Invoice</x:v>
      </x:c>
      <x:c r="P211" s="8" t="str">
        <x:v>Closed Won</x:v>
      </x:c>
    </x:row>
    <x:row r="212">
      <x:c r="A212" s="8" t="str">
        <x:v>ORD-2025211</x:v>
      </x:c>
      <x:c r="B212" s="9" t="n">
        <x:v>45985</x:v>
      </x:c>
      <x:c r="C212" s="8" t="str">
        <x:v>East</x:v>
      </x:c>
      <x:c r="D212" s="8" t="str">
        <x:v>Sophia Kim</x:v>
      </x:c>
      <x:c r="E212" s="8" t="str">
        <x:v>Nova Co</x:v>
      </x:c>
      <x:c r="F212" s="8" t="str">
        <x:v>Services</x:v>
      </x:c>
      <x:c r="G212" s="8" t="str">
        <x:v>Implementation</x:v>
      </x:c>
      <x:c r="H212" s="10" t="n">
        <x:v>8</x:v>
      </x:c>
      <x:c r="I212" s="11" t="n">
        <x:v>2500</x:v>
      </x:c>
      <x:c r="J212" s="12" t="n">
        <x:v>0</x:v>
      </x:c>
      <x:c r="K212" s="11" t="n">
        <x:f>H212*I212*(1-J212)</x:f>
        <x:v>20000</x:v>
      </x:c>
      <x:c r="L212" s="11" t="n">
        <x:f>H212*(I212*0.62)</x:f>
        <x:v>12400</x:v>
      </x:c>
      <x:c r="M212" s="11" t="n">
        <x:f>K212-L212</x:f>
        <x:v>7600</x:v>
      </x:c>
      <x:c r="N212" s="8" t="str">
        <x:v>Direct</x:v>
      </x:c>
      <x:c r="O212" s="8" t="str">
        <x:v>PayPal</x:v>
      </x:c>
      <x:c r="P212" s="8" t="str">
        <x:v>Closed Won</x:v>
      </x:c>
    </x:row>
    <x:row r="213">
      <x:c r="A213" s="8" t="str">
        <x:v>ORD-2025212</x:v>
      </x:c>
      <x:c r="B213" s="9" t="n">
        <x:v>46017</x:v>
      </x:c>
      <x:c r="C213" s="8" t="str">
        <x:v>Central</x:v>
      </x:c>
      <x:c r="D213" s="8" t="str">
        <x:v>Olivia Wilson</x:v>
      </x:c>
      <x:c r="E213" s="8" t="str">
        <x:v>Maple LLC</x:v>
      </x:c>
      <x:c r="F213" s="8" t="str">
        <x:v>Services</x:v>
      </x:c>
      <x:c r="G213" s="8" t="str">
        <x:v>Consulting Day</x:v>
      </x:c>
      <x:c r="H213" s="10" t="n">
        <x:v>22</x:v>
      </x:c>
      <x:c r="I213" s="11" t="n">
        <x:v>1400</x:v>
      </x:c>
      <x:c r="J213" s="12" t="n">
        <x:v>0.2</x:v>
      </x:c>
      <x:c r="K213" s="11" t="n">
        <x:f>H213*I213*(1-J213)</x:f>
        <x:v>24640</x:v>
      </x:c>
      <x:c r="L213" s="11" t="n">
        <x:f>H213*(I213*0.62)</x:f>
        <x:v>19096</x:v>
      </x:c>
      <x:c r="M213" s="11" t="n">
        <x:f>K213-L213</x:f>
        <x:v>5544</x:v>
      </x:c>
      <x:c r="N213" s="8" t="str">
        <x:v>Direct</x:v>
      </x:c>
      <x:c r="O213" s="8" t="str">
        <x:v>Bank Transfer</x:v>
      </x:c>
      <x:c r="P213" s="8" t="str">
        <x:v>Shipped</x:v>
      </x:c>
    </x:row>
    <x:row r="214">
      <x:c r="A214" s="8" t="str">
        <x:v>ORD-2025213</x:v>
      </x:c>
      <x:c r="B214" s="9" t="n">
        <x:v>45928</x:v>
      </x:c>
      <x:c r="C214" s="8" t="str">
        <x:v>East</x:v>
      </x:c>
      <x:c r="D214" s="8" t="str">
        <x:v>Liam Chen</x:v>
      </x:c>
      <x:c r="E214" s="8" t="str">
        <x:v>Ironwood LLC</x:v>
      </x:c>
      <x:c r="F214" s="8" t="str">
        <x:v>Software</x:v>
      </x:c>
      <x:c r="G214" s="8" t="str">
        <x:v>ProjectFlow</x:v>
      </x:c>
      <x:c r="H214" s="10" t="n">
        <x:v>4</x:v>
      </x:c>
      <x:c r="I214" s="11" t="n">
        <x:v>700</x:v>
      </x:c>
      <x:c r="J214" s="12" t="n">
        <x:v>0</x:v>
      </x:c>
      <x:c r="K214" s="11" t="n">
        <x:f>H214*I214*(1-J214)</x:f>
        <x:v>2800</x:v>
      </x:c>
      <x:c r="L214" s="11" t="n">
        <x:f>H214*(I214*0.62)</x:f>
        <x:v>1736</x:v>
      </x:c>
      <x:c r="M214" s="11" t="n">
        <x:f>K214-L214</x:f>
        <x:v>1064</x:v>
      </x:c>
      <x:c r="N214" s="8" t="str">
        <x:v>Online</x:v>
      </x:c>
      <x:c r="O214" s="8" t="str">
        <x:v>Bank Transfer</x:v>
      </x:c>
      <x:c r="P214" s="8" t="str">
        <x:v>Shipped</x:v>
      </x:c>
    </x:row>
    <x:row r="215">
      <x:c r="A215" s="8" t="str">
        <x:v>ORD-2025214</x:v>
      </x:c>
      <x:c r="B215" s="9" t="n">
        <x:v>45825</x:v>
      </x:c>
      <x:c r="C215" s="8" t="str">
        <x:v>Central</x:v>
      </x:c>
      <x:c r="D215" s="8" t="str">
        <x:v>Olivia Wilson</x:v>
      </x:c>
      <x:c r="E215" s="8" t="str">
        <x:v>Pioneer Co</x:v>
      </x:c>
      <x:c r="F215" s="8" t="str">
        <x:v>Hardware</x:v>
      </x:c>
      <x:c r="G215" s="8" t="str">
        <x:v>Tablet Air</x:v>
      </x:c>
      <x:c r="H215" s="10" t="n">
        <x:v>22</x:v>
      </x:c>
      <x:c r="I215" s="11" t="n">
        <x:v>820</x:v>
      </x:c>
      <x:c r="J215" s="12" t="n">
        <x:v>0</x:v>
      </x:c>
      <x:c r="K215" s="11" t="n">
        <x:f>H215*I215*(1-J215)</x:f>
        <x:v>18040</x:v>
      </x:c>
      <x:c r="L215" s="11" t="n">
        <x:f>H215*(I215*0.62)</x:f>
        <x:v>11184.8</x:v>
      </x:c>
      <x:c r="M215" s="11" t="n">
        <x:f>K215-L215</x:f>
        <x:v>6855.200000000001</x:v>
      </x:c>
      <x:c r="N215" s="8" t="str">
        <x:v>Online</x:v>
      </x:c>
      <x:c r="O215" s="8" t="str">
        <x:v>PayPal</x:v>
      </x:c>
      <x:c r="P215" s="8" t="str">
        <x:v>Closed Won</x:v>
      </x:c>
    </x:row>
    <x:row r="216">
      <x:c r="A216" s="8" t="str">
        <x:v>ORD-2025215</x:v>
      </x:c>
      <x:c r="B216" s="9" t="n">
        <x:v>45890</x:v>
      </x:c>
      <x:c r="C216" s="8" t="str">
        <x:v>South</x:v>
      </x:c>
      <x:c r="D216" s="8" t="str">
        <x:v>Mason Lee</x:v>
      </x:c>
      <x:c r="E216" s="8" t="str">
        <x:v>RedStone Inc</x:v>
      </x:c>
      <x:c r="F216" s="8" t="str">
        <x:v>Accessories</x:v>
      </x:c>
      <x:c r="G216" s="8" t="str">
        <x:v>Wireless Mouse</x:v>
      </x:c>
      <x:c r="H216" s="10" t="n">
        <x:v>15</x:v>
      </x:c>
      <x:c r="I216" s="11" t="n">
        <x:v>40</x:v>
      </x:c>
      <x:c r="J216" s="12" t="n">
        <x:v>0.1</x:v>
      </x:c>
      <x:c r="K216" s="11" t="n">
        <x:f>H216*I216*(1-J216)</x:f>
        <x:v>540</x:v>
      </x:c>
      <x:c r="L216" s="11" t="n">
        <x:f>H216*(I216*0.62)</x:f>
        <x:v>372</x:v>
      </x:c>
      <x:c r="M216" s="11" t="n">
        <x:f>K216-L216</x:f>
        <x:v>168</x:v>
      </x:c>
      <x:c r="N216" s="8" t="str">
        <x:v>Direct</x:v>
      </x:c>
      <x:c r="O216" s="8" t="str">
        <x:v>PayPal</x:v>
      </x:c>
      <x:c r="P216" s="8" t="str">
        <x:v>Shipped</x:v>
      </x:c>
    </x:row>
    <x:row r="217">
      <x:c r="A217" s="8" t="str">
        <x:v>ORD-2025216</x:v>
      </x:c>
      <x:c r="B217" s="9" t="n">
        <x:v>45860</x:v>
      </x:c>
      <x:c r="C217" s="8" t="str">
        <x:v>East</x:v>
      </x:c>
      <x:c r="D217" s="8" t="str">
        <x:v>Ava Patel</x:v>
      </x:c>
      <x:c r="E217" s="8" t="str">
        <x:v>Nexus Group</x:v>
      </x:c>
      <x:c r="F217" s="8" t="str">
        <x:v>Services</x:v>
      </x:c>
      <x:c r="G217" s="8" t="str">
        <x:v>Implementation</x:v>
      </x:c>
      <x:c r="H217" s="10" t="n">
        <x:v>19</x:v>
      </x:c>
      <x:c r="I217" s="11" t="n">
        <x:v>2500</x:v>
      </x:c>
      <x:c r="J217" s="12" t="n">
        <x:v>0</x:v>
      </x:c>
      <x:c r="K217" s="11" t="n">
        <x:f>H217*I217*(1-J217)</x:f>
        <x:v>47500</x:v>
      </x:c>
      <x:c r="L217" s="11" t="n">
        <x:f>H217*(I217*0.62)</x:f>
        <x:v>29450</x:v>
      </x:c>
      <x:c r="M217" s="11" t="n">
        <x:f>K217-L217</x:f>
        <x:v>18050</x:v>
      </x:c>
      <x:c r="N217" s="8" t="str">
        <x:v>Direct</x:v>
      </x:c>
      <x:c r="O217" s="8" t="str">
        <x:v>PayPal</x:v>
      </x:c>
      <x:c r="P217" s="8" t="str">
        <x:v>Closed Won</x:v>
      </x:c>
    </x:row>
    <x:row r="218">
      <x:c r="A218" s="8" t="str">
        <x:v>ORD-2025217</x:v>
      </x:c>
      <x:c r="B218" s="9" t="n">
        <x:v>45693</x:v>
      </x:c>
      <x:c r="C218" s="8" t="str">
        <x:v>West</x:v>
      </x:c>
      <x:c r="D218" s="8" t="str">
        <x:v>Ava Patel</x:v>
      </x:c>
      <x:c r="E218" s="8" t="str">
        <x:v>Vertex LLC</x:v>
      </x:c>
      <x:c r="F218" s="8" t="str">
        <x:v>Software</x:v>
      </x:c>
      <x:c r="G218" s="8" t="str">
        <x:v>CRM Pro</x:v>
      </x:c>
      <x:c r="H218" s="10" t="n">
        <x:v>14</x:v>
      </x:c>
      <x:c r="I218" s="11" t="n">
        <x:v>1200</x:v>
      </x:c>
      <x:c r="J218" s="12" t="n">
        <x:v>0</x:v>
      </x:c>
      <x:c r="K218" s="11" t="n">
        <x:f>H218*I218*(1-J218)</x:f>
        <x:v>16800</x:v>
      </x:c>
      <x:c r="L218" s="11" t="n">
        <x:f>H218*(I218*0.62)</x:f>
        <x:v>10416</x:v>
      </x:c>
      <x:c r="M218" s="11" t="n">
        <x:f>K218-L218</x:f>
        <x:v>6384</x:v>
      </x:c>
      <x:c r="N218" s="8" t="str">
        <x:v>Direct</x:v>
      </x:c>
      <x:c r="O218" s="8" t="str">
        <x:v>PayPal</x:v>
      </x:c>
      <x:c r="P218" s="8" t="str">
        <x:v>Closed Won</x:v>
      </x:c>
    </x:row>
    <x:row r="219">
      <x:c r="A219" s="8" t="str">
        <x:v>ORD-2025218</x:v>
      </x:c>
      <x:c r="B219" s="9" t="n">
        <x:v>45851</x:v>
      </x:c>
      <x:c r="C219" s="8" t="str">
        <x:v>West</x:v>
      </x:c>
      <x:c r="D219" s="8" t="str">
        <x:v>Liam Chen</x:v>
      </x:c>
      <x:c r="E219" s="8" t="str">
        <x:v>Maple Inc</x:v>
      </x:c>
      <x:c r="F219" s="8" t="str">
        <x:v>Accessories</x:v>
      </x:c>
      <x:c r="G219" s="8" t="str">
        <x:v>Headset</x:v>
      </x:c>
      <x:c r="H219" s="10" t="n">
        <x:v>5</x:v>
      </x:c>
      <x:c r="I219" s="11" t="n">
        <x:v>85</x:v>
      </x:c>
      <x:c r="J219" s="12" t="n">
        <x:v>0.15</x:v>
      </x:c>
      <x:c r="K219" s="11" t="n">
        <x:f>H219*I219*(1-J219)</x:f>
        <x:v>361.25</x:v>
      </x:c>
      <x:c r="L219" s="11" t="n">
        <x:f>H219*(I219*0.62)</x:f>
        <x:v>263.5</x:v>
      </x:c>
      <x:c r="M219" s="11" t="n">
        <x:f>K219-L219</x:f>
        <x:v>97.75</x:v>
      </x:c>
      <x:c r="N219" s="8" t="str">
        <x:v>Partner</x:v>
      </x:c>
      <x:c r="O219" s="8" t="str">
        <x:v>Credit Card</x:v>
      </x:c>
      <x:c r="P219" s="8" t="str">
        <x:v>Closed Won</x:v>
      </x:c>
    </x:row>
    <x:row r="220">
      <x:c r="A220" s="8" t="str">
        <x:v>ORD-2025219</x:v>
      </x:c>
      <x:c r="B220" s="9" t="n">
        <x:v>45772</x:v>
      </x:c>
      <x:c r="C220" s="8" t="str">
        <x:v>North</x:v>
      </x:c>
      <x:c r="D220" s="8" t="str">
        <x:v>Ava Patel</x:v>
      </x:c>
      <x:c r="E220" s="8" t="str">
        <x:v>Vertex Co</x:v>
      </x:c>
      <x:c r="F220" s="8" t="str">
        <x:v>Accessories</x:v>
      </x:c>
      <x:c r="G220" s="8" t="str">
        <x:v>Keyboard Pro</x:v>
      </x:c>
      <x:c r="H220" s="10" t="n">
        <x:v>15</x:v>
      </x:c>
      <x:c r="I220" s="11" t="n">
        <x:v>95</x:v>
      </x:c>
      <x:c r="J220" s="12" t="n">
        <x:v>0.15</x:v>
      </x:c>
      <x:c r="K220" s="11" t="n">
        <x:f>H220*I220*(1-J220)</x:f>
        <x:v>1211.25</x:v>
      </x:c>
      <x:c r="L220" s="11" t="n">
        <x:f>H220*(I220*0.62)</x:f>
        <x:v>883.5</x:v>
      </x:c>
      <x:c r="M220" s="11" t="n">
        <x:f>K220-L220</x:f>
        <x:v>327.75</x:v>
      </x:c>
      <x:c r="N220" s="8" t="str">
        <x:v>Online</x:v>
      </x:c>
      <x:c r="O220" s="8" t="str">
        <x:v>PayPal</x:v>
      </x:c>
      <x:c r="P220" s="8" t="str">
        <x:v>Pending</x:v>
      </x:c>
    </x:row>
    <x:row r="221">
      <x:c r="A221" s="8" t="str">
        <x:v>ORD-2025220</x:v>
      </x:c>
      <x:c r="B221" s="9" t="n">
        <x:v>45893</x:v>
      </x:c>
      <x:c r="C221" s="8" t="str">
        <x:v>East</x:v>
      </x:c>
      <x:c r="D221" s="8" t="str">
        <x:v>Noah Davis</x:v>
      </x:c>
      <x:c r="E221" s="8" t="str">
        <x:v>Prime Group</x:v>
      </x:c>
      <x:c r="F221" s="8" t="str">
        <x:v>Hardware</x:v>
      </x:c>
      <x:c r="G221" s="8" t="str">
        <x:v>Tablet Air</x:v>
      </x:c>
      <x:c r="H221" s="10" t="n">
        <x:v>7</x:v>
      </x:c>
      <x:c r="I221" s="11" t="n">
        <x:v>820</x:v>
      </x:c>
      <x:c r="J221" s="12" t="n">
        <x:v>0.15</x:v>
      </x:c>
      <x:c r="K221" s="11" t="n">
        <x:f>H221*I221*(1-J221)</x:f>
        <x:v>4879</x:v>
      </x:c>
      <x:c r="L221" s="11" t="n">
        <x:f>H221*(I221*0.62)</x:f>
        <x:v>3558.7999999999997</x:v>
      </x:c>
      <x:c r="M221" s="11" t="n">
        <x:f>K221-L221</x:f>
        <x:v>1320.2000000000003</x:v>
      </x:c>
      <x:c r="N221" s="8" t="str">
        <x:v>Direct</x:v>
      </x:c>
      <x:c r="O221" s="8" t="str">
        <x:v>Credit Card</x:v>
      </x:c>
      <x:c r="P221" s="8" t="str">
        <x:v>Returned</x:v>
      </x:c>
    </x:row>
    <x:row r="222">
      <x:c r="A222" s="8" t="str">
        <x:v>ORD-2025221</x:v>
      </x:c>
      <x:c r="B222" s="9" t="n">
        <x:v>45781</x:v>
      </x:c>
      <x:c r="C222" s="8" t="str">
        <x:v>South</x:v>
      </x:c>
      <x:c r="D222" s="8" t="str">
        <x:v>Liam Chen</x:v>
      </x:c>
      <x:c r="E222" s="8" t="str">
        <x:v>Pioneer LLC</x:v>
      </x:c>
      <x:c r="F222" s="8" t="str">
        <x:v>Accessories</x:v>
      </x:c>
      <x:c r="G222" s="8" t="str">
        <x:v>Wireless Mouse</x:v>
      </x:c>
      <x:c r="H222" s="10" t="n">
        <x:v>20</x:v>
      </x:c>
      <x:c r="I222" s="11" t="n">
        <x:v>40</x:v>
      </x:c>
      <x:c r="J222" s="12" t="n">
        <x:v>0</x:v>
      </x:c>
      <x:c r="K222" s="11" t="n">
        <x:f>H222*I222*(1-J222)</x:f>
        <x:v>800</x:v>
      </x:c>
      <x:c r="L222" s="11" t="n">
        <x:f>H222*(I222*0.62)</x:f>
        <x:v>496</x:v>
      </x:c>
      <x:c r="M222" s="11" t="n">
        <x:f>K222-L222</x:f>
        <x:v>304</x:v>
      </x:c>
      <x:c r="N222" s="8" t="str">
        <x:v>Partner</x:v>
      </x:c>
      <x:c r="O222" s="8" t="str">
        <x:v>Credit Card</x:v>
      </x:c>
      <x:c r="P222" s="8" t="str">
        <x:v>Closed Won</x:v>
      </x:c>
    </x:row>
    <x:row r="223">
      <x:c r="A223" s="8" t="str">
        <x:v>ORD-2025222</x:v>
      </x:c>
      <x:c r="B223" s="9" t="n">
        <x:v>45882</x:v>
      </x:c>
      <x:c r="C223" s="8" t="str">
        <x:v>South</x:v>
      </x:c>
      <x:c r="D223" s="8" t="str">
        <x:v>Mason Lee</x:v>
      </x:c>
      <x:c r="E223" s="8" t="str">
        <x:v>Nexus Group</x:v>
      </x:c>
      <x:c r="F223" s="8" t="str">
        <x:v>Software</x:v>
      </x:c>
      <x:c r="G223" s="8" t="str">
        <x:v>ProjectFlow</x:v>
      </x:c>
      <x:c r="H223" s="10" t="n">
        <x:v>25</x:v>
      </x:c>
      <x:c r="I223" s="11" t="n">
        <x:v>700</x:v>
      </x:c>
      <x:c r="J223" s="12" t="n">
        <x:v>0.2</x:v>
      </x:c>
      <x:c r="K223" s="11" t="n">
        <x:f>H223*I223*(1-J223)</x:f>
        <x:v>14000</x:v>
      </x:c>
      <x:c r="L223" s="11" t="n">
        <x:f>H223*(I223*0.62)</x:f>
        <x:v>10850</x:v>
      </x:c>
      <x:c r="M223" s="11" t="n">
        <x:f>K223-L223</x:f>
        <x:v>3150</x:v>
      </x:c>
      <x:c r="N223" s="8" t="str">
        <x:v>Direct</x:v>
      </x:c>
      <x:c r="O223" s="8" t="str">
        <x:v>Bank Transfer</x:v>
      </x:c>
      <x:c r="P223" s="8" t="str">
        <x:v>Pending</x:v>
      </x:c>
    </x:row>
    <x:row r="224">
      <x:c r="A224" s="8" t="str">
        <x:v>ORD-2025223</x:v>
      </x:c>
      <x:c r="B224" s="9" t="n">
        <x:v>45952</x:v>
      </x:c>
      <x:c r="C224" s="8" t="str">
        <x:v>East</x:v>
      </x:c>
      <x:c r="D224" s="8" t="str">
        <x:v>Emma Martin</x:v>
      </x:c>
      <x:c r="E224" s="8" t="str">
        <x:v>Nova LLC</x:v>
      </x:c>
      <x:c r="F224" s="8" t="str">
        <x:v>Services</x:v>
      </x:c>
      <x:c r="G224" s="8" t="str">
        <x:v>Training</x:v>
      </x:c>
      <x:c r="H224" s="10" t="n">
        <x:v>25</x:v>
      </x:c>
      <x:c r="I224" s="11" t="n">
        <x:v>900</x:v>
      </x:c>
      <x:c r="J224" s="12" t="n">
        <x:v>0.15</x:v>
      </x:c>
      <x:c r="K224" s="11" t="n">
        <x:f>H224*I224*(1-J224)</x:f>
        <x:v>19125</x:v>
      </x:c>
      <x:c r="L224" s="11" t="n">
        <x:f>H224*(I224*0.62)</x:f>
        <x:v>13950</x:v>
      </x:c>
      <x:c r="M224" s="11" t="n">
        <x:f>K224-L224</x:f>
        <x:v>5175</x:v>
      </x:c>
      <x:c r="N224" s="8" t="str">
        <x:v>Partner</x:v>
      </x:c>
      <x:c r="O224" s="8" t="str">
        <x:v>Bank Transfer</x:v>
      </x:c>
      <x:c r="P224" s="8" t="str">
        <x:v>Closed Won</x:v>
      </x:c>
    </x:row>
    <x:row r="225">
      <x:c r="A225" s="8" t="str">
        <x:v>ORD-2025224</x:v>
      </x:c>
      <x:c r="B225" s="9" t="n">
        <x:v>45869</x:v>
      </x:c>
      <x:c r="C225" s="8" t="str">
        <x:v>East</x:v>
      </x:c>
      <x:c r="D225" s="8" t="str">
        <x:v>Ethan Garcia</x:v>
      </x:c>
      <x:c r="E225" s="8" t="str">
        <x:v>Summit Group</x:v>
      </x:c>
      <x:c r="F225" s="8" t="str">
        <x:v>Hardware</x:v>
      </x:c>
      <x:c r="G225" s="8" t="str">
        <x:v>Tablet Air</x:v>
      </x:c>
      <x:c r="H225" s="10" t="n">
        <x:v>18</x:v>
      </x:c>
      <x:c r="I225" s="11" t="n">
        <x:v>820</x:v>
      </x:c>
      <x:c r="J225" s="12" t="n">
        <x:v>0.1</x:v>
      </x:c>
      <x:c r="K225" s="11" t="n">
        <x:f>H225*I225*(1-J225)</x:f>
        <x:v>13284</x:v>
      </x:c>
      <x:c r="L225" s="11" t="n">
        <x:f>H225*(I225*0.62)</x:f>
        <x:v>9151.199999999999</x:v>
      </x:c>
      <x:c r="M225" s="11" t="n">
        <x:f>K225-L225</x:f>
        <x:v>4132.800000000001</x:v>
      </x:c>
      <x:c r="N225" s="8" t="str">
        <x:v>Online</x:v>
      </x:c>
      <x:c r="O225" s="8" t="str">
        <x:v>Bank Transfer</x:v>
      </x:c>
      <x:c r="P225" s="8" t="str">
        <x:v>Shipped</x:v>
      </x:c>
    </x:row>
    <x:row r="226">
      <x:c r="A226" s="8" t="str">
        <x:v>ORD-2025225</x:v>
      </x:c>
      <x:c r="B226" s="9" t="n">
        <x:v>45682</x:v>
      </x:c>
      <x:c r="C226" s="8" t="str">
        <x:v>East</x:v>
      </x:c>
      <x:c r="D226" s="8" t="str">
        <x:v>Lucas Brown</x:v>
      </x:c>
      <x:c r="E226" s="8" t="str">
        <x:v>Southridge Group</x:v>
      </x:c>
      <x:c r="F226" s="8" t="str">
        <x:v>Accessories</x:v>
      </x:c>
      <x:c r="G226" s="8" t="str">
        <x:v>Headset</x:v>
      </x:c>
      <x:c r="H226" s="10" t="n">
        <x:v>11</x:v>
      </x:c>
      <x:c r="I226" s="11" t="n">
        <x:v>85</x:v>
      </x:c>
      <x:c r="J226" s="12" t="n">
        <x:v>0.15</x:v>
      </x:c>
      <x:c r="K226" s="11" t="n">
        <x:f>H226*I226*(1-J226)</x:f>
        <x:v>794.75</x:v>
      </x:c>
      <x:c r="L226" s="11" t="n">
        <x:f>H226*(I226*0.62)</x:f>
        <x:v>579.7</x:v>
      </x:c>
      <x:c r="M226" s="11" t="n">
        <x:f>K226-L226</x:f>
        <x:v>215.04999999999995</x:v>
      </x:c>
      <x:c r="N226" s="8" t="str">
        <x:v>Partner</x:v>
      </x:c>
      <x:c r="O226" s="8" t="str">
        <x:v>PayPal</x:v>
      </x:c>
      <x:c r="P226" s="8" t="str">
        <x:v>Closed Won</x:v>
      </x:c>
    </x:row>
    <x:row r="227">
      <x:c r="A227" s="8" t="str">
        <x:v>ORD-2025226</x:v>
      </x:c>
      <x:c r="B227" s="9" t="n">
        <x:v>45933</x:v>
      </x:c>
      <x:c r="C227" s="8" t="str">
        <x:v>West</x:v>
      </x:c>
      <x:c r="D227" s="8" t="str">
        <x:v>Mia Johnson</x:v>
      </x:c>
      <x:c r="E227" s="8" t="str">
        <x:v>Cedar LLC</x:v>
      </x:c>
      <x:c r="F227" s="8" t="str">
        <x:v>Accessories</x:v>
      </x:c>
      <x:c r="G227" s="8" t="str">
        <x:v>Keyboard Pro</x:v>
      </x:c>
      <x:c r="H227" s="10" t="n">
        <x:v>10</x:v>
      </x:c>
      <x:c r="I227" s="11" t="n">
        <x:v>95</x:v>
      </x:c>
      <x:c r="J227" s="12" t="n">
        <x:v>0.2</x:v>
      </x:c>
      <x:c r="K227" s="11" t="n">
        <x:f>H227*I227*(1-J227)</x:f>
        <x:v>760</x:v>
      </x:c>
      <x:c r="L227" s="11" t="n">
        <x:f>H227*(I227*0.62)</x:f>
        <x:v>589</x:v>
      </x:c>
      <x:c r="M227" s="11" t="n">
        <x:f>K227-L227</x:f>
        <x:v>171</x:v>
      </x:c>
      <x:c r="N227" s="8" t="str">
        <x:v>Online</x:v>
      </x:c>
      <x:c r="O227" s="8" t="str">
        <x:v>Bank Transfer</x:v>
      </x:c>
      <x:c r="P227" s="8" t="str">
        <x:v>Returned</x:v>
      </x:c>
    </x:row>
    <x:row r="228">
      <x:c r="A228" s="8" t="str">
        <x:v>ORD-2025227</x:v>
      </x:c>
      <x:c r="B228" s="9" t="n">
        <x:v>45871</x:v>
      </x:c>
      <x:c r="C228" s="8" t="str">
        <x:v>Central</x:v>
      </x:c>
      <x:c r="D228" s="8" t="str">
        <x:v>Mason Lee</x:v>
      </x:c>
      <x:c r="E228" s="8" t="str">
        <x:v>Urban Inc</x:v>
      </x:c>
      <x:c r="F228" s="8" t="str">
        <x:v>Software</x:v>
      </x:c>
      <x:c r="G228" s="8" t="str">
        <x:v>ProjectFlow</x:v>
      </x:c>
      <x:c r="H228" s="10" t="n">
        <x:v>13</x:v>
      </x:c>
      <x:c r="I228" s="11" t="n">
        <x:v>700</x:v>
      </x:c>
      <x:c r="J228" s="12" t="n">
        <x:v>0</x:v>
      </x:c>
      <x:c r="K228" s="11" t="n">
        <x:f>H228*I228*(1-J228)</x:f>
        <x:v>9100</x:v>
      </x:c>
      <x:c r="L228" s="11" t="n">
        <x:f>H228*(I228*0.62)</x:f>
        <x:v>5642</x:v>
      </x:c>
      <x:c r="M228" s="11" t="n">
        <x:f>K228-L228</x:f>
        <x:v>3458</x:v>
      </x:c>
      <x:c r="N228" s="8" t="str">
        <x:v>Partner</x:v>
      </x:c>
      <x:c r="O228" s="8" t="str">
        <x:v>Bank Transfer</x:v>
      </x:c>
      <x:c r="P228" s="8" t="str">
        <x:v>Closed Won</x:v>
      </x:c>
    </x:row>
    <x:row r="229">
      <x:c r="A229" s="8" t="str">
        <x:v>ORD-2025228</x:v>
      </x:c>
      <x:c r="B229" s="9" t="n">
        <x:v>45847</x:v>
      </x:c>
      <x:c r="C229" s="8" t="str">
        <x:v>North</x:v>
      </x:c>
      <x:c r="D229" s="8" t="str">
        <x:v>Mason Lee</x:v>
      </x:c>
      <x:c r="E229" s="8" t="str">
        <x:v>Nexus LLC</x:v>
      </x:c>
      <x:c r="F229" s="8" t="str">
        <x:v>Software</x:v>
      </x:c>
      <x:c r="G229" s="8" t="str">
        <x:v>ProjectFlow</x:v>
      </x:c>
      <x:c r="H229" s="10" t="n">
        <x:v>2</x:v>
      </x:c>
      <x:c r="I229" s="11" t="n">
        <x:v>700</x:v>
      </x:c>
      <x:c r="J229" s="12" t="n">
        <x:v>0</x:v>
      </x:c>
      <x:c r="K229" s="11" t="n">
        <x:f>H229*I229*(1-J229)</x:f>
        <x:v>1400</x:v>
      </x:c>
      <x:c r="L229" s="11" t="n">
        <x:f>H229*(I229*0.62)</x:f>
        <x:v>868</x:v>
      </x:c>
      <x:c r="M229" s="11" t="n">
        <x:f>K229-L229</x:f>
        <x:v>532</x:v>
      </x:c>
      <x:c r="N229" s="8" t="str">
        <x:v>Partner</x:v>
      </x:c>
      <x:c r="O229" s="8" t="str">
        <x:v>Credit Card</x:v>
      </x:c>
      <x:c r="P229" s="8" t="str">
        <x:v>Returned</x:v>
      </x:c>
    </x:row>
    <x:row r="230">
      <x:c r="A230" s="8" t="str">
        <x:v>ORD-2025229</x:v>
      </x:c>
      <x:c r="B230" s="9" t="n">
        <x:v>45903</x:v>
      </x:c>
      <x:c r="C230" s="8" t="str">
        <x:v>South</x:v>
      </x:c>
      <x:c r="D230" s="8" t="str">
        <x:v>Sophia Kim</x:v>
      </x:c>
      <x:c r="E230" s="8" t="str">
        <x:v>Vertex Co</x:v>
      </x:c>
      <x:c r="F230" s="8" t="str">
        <x:v>Hardware</x:v>
      </x:c>
      <x:c r="G230" s="8" t="str">
        <x:v>Tablet Air</x:v>
      </x:c>
      <x:c r="H230" s="10" t="n">
        <x:v>1</x:v>
      </x:c>
      <x:c r="I230" s="11" t="n">
        <x:v>820</x:v>
      </x:c>
      <x:c r="J230" s="12" t="n">
        <x:v>0</x:v>
      </x:c>
      <x:c r="K230" s="11" t="n">
        <x:f>H230*I230*(1-J230)</x:f>
        <x:v>820</x:v>
      </x:c>
      <x:c r="L230" s="11" t="n">
        <x:f>H230*(I230*0.62)</x:f>
        <x:v>508.4</x:v>
      </x:c>
      <x:c r="M230" s="11" t="n">
        <x:f>K230-L230</x:f>
        <x:v>311.6</x:v>
      </x:c>
      <x:c r="N230" s="8" t="str">
        <x:v>Direct</x:v>
      </x:c>
      <x:c r="O230" s="8" t="str">
        <x:v>Credit Card</x:v>
      </x:c>
      <x:c r="P230" s="8" t="str">
        <x:v>Shipped</x:v>
      </x:c>
    </x:row>
    <x:row r="231">
      <x:c r="A231" s="8" t="str">
        <x:v>ORD-2025230</x:v>
      </x:c>
      <x:c r="B231" s="9" t="n">
        <x:v>46014</x:v>
      </x:c>
      <x:c r="C231" s="8" t="str">
        <x:v>Central</x:v>
      </x:c>
      <x:c r="D231" s="8" t="str">
        <x:v>Mia Johnson</x:v>
      </x:c>
      <x:c r="E231" s="8" t="str">
        <x:v>SilverLine Co</x:v>
      </x:c>
      <x:c r="F231" s="8" t="str">
        <x:v>Accessories</x:v>
      </x:c>
      <x:c r="G231" s="8" t="str">
        <x:v>Keyboard Pro</x:v>
      </x:c>
      <x:c r="H231" s="10" t="n">
        <x:v>8</x:v>
      </x:c>
      <x:c r="I231" s="11" t="n">
        <x:v>95</x:v>
      </x:c>
      <x:c r="J231" s="12" t="n">
        <x:v>0.1</x:v>
      </x:c>
      <x:c r="K231" s="11" t="n">
        <x:f>H231*I231*(1-J231)</x:f>
        <x:v>684</x:v>
      </x:c>
      <x:c r="L231" s="11" t="n">
        <x:f>H231*(I231*0.62)</x:f>
        <x:v>471.2</x:v>
      </x:c>
      <x:c r="M231" s="11" t="n">
        <x:f>K231-L231</x:f>
        <x:v>212.8</x:v>
      </x:c>
      <x:c r="N231" s="8" t="str">
        <x:v>Partner</x:v>
      </x:c>
      <x:c r="O231" s="8" t="str">
        <x:v>Invoice</x:v>
      </x:c>
      <x:c r="P231" s="8" t="str">
        <x:v>Closed Won</x:v>
      </x:c>
    </x:row>
    <x:row r="232">
      <x:c r="A232" s="8" t="str">
        <x:v>ORD-2025231</x:v>
      </x:c>
      <x:c r="B232" s="9" t="n">
        <x:v>45791</x:v>
      </x:c>
      <x:c r="C232" s="8" t="str">
        <x:v>East</x:v>
      </x:c>
      <x:c r="D232" s="8" t="str">
        <x:v>Mason Lee</x:v>
      </x:c>
      <x:c r="E232" s="8" t="str">
        <x:v>NorthStar Group</x:v>
      </x:c>
      <x:c r="F232" s="8" t="str">
        <x:v>Services</x:v>
      </x:c>
      <x:c r="G232" s="8" t="str">
        <x:v>Support Plus</x:v>
      </x:c>
      <x:c r="H232" s="10" t="n">
        <x:v>15</x:v>
      </x:c>
      <x:c r="I232" s="11" t="n">
        <x:v>650</x:v>
      </x:c>
      <x:c r="J232" s="12" t="n">
        <x:v>0</x:v>
      </x:c>
      <x:c r="K232" s="11" t="n">
        <x:f>H232*I232*(1-J232)</x:f>
        <x:v>9750</x:v>
      </x:c>
      <x:c r="L232" s="11" t="n">
        <x:f>H232*(I232*0.62)</x:f>
        <x:v>6045</x:v>
      </x:c>
      <x:c r="M232" s="11" t="n">
        <x:f>K232-L232</x:f>
        <x:v>3705</x:v>
      </x:c>
      <x:c r="N232" s="8" t="str">
        <x:v>Online</x:v>
      </x:c>
      <x:c r="O232" s="8" t="str">
        <x:v>PayPal</x:v>
      </x:c>
      <x:c r="P232" s="8" t="str">
        <x:v>Shipped</x:v>
      </x:c>
    </x:row>
    <x:row r="233">
      <x:c r="A233" s="8" t="str">
        <x:v>ORD-2025232</x:v>
      </x:c>
      <x:c r="B233" s="9" t="n">
        <x:v>45847</x:v>
      </x:c>
      <x:c r="C233" s="8" t="str">
        <x:v>East</x:v>
      </x:c>
      <x:c r="D233" s="8" t="str">
        <x:v>Lucas Brown</x:v>
      </x:c>
      <x:c r="E233" s="8" t="str">
        <x:v>Summit Inc</x:v>
      </x:c>
      <x:c r="F233" s="8" t="str">
        <x:v>Services</x:v>
      </x:c>
      <x:c r="G233" s="8" t="str">
        <x:v>Training</x:v>
      </x:c>
      <x:c r="H233" s="10" t="n">
        <x:v>19</x:v>
      </x:c>
      <x:c r="I233" s="11" t="n">
        <x:v>900</x:v>
      </x:c>
      <x:c r="J233" s="12" t="n">
        <x:v>0.2</x:v>
      </x:c>
      <x:c r="K233" s="11" t="n">
        <x:f>H233*I233*(1-J233)</x:f>
        <x:v>13680</x:v>
      </x:c>
      <x:c r="L233" s="11" t="n">
        <x:f>H233*(I233*0.62)</x:f>
        <x:v>10602</x:v>
      </x:c>
      <x:c r="M233" s="11" t="n">
        <x:f>K233-L233</x:f>
        <x:v>3078</x:v>
      </x:c>
      <x:c r="N233" s="8" t="str">
        <x:v>Direct</x:v>
      </x:c>
      <x:c r="O233" s="8" t="str">
        <x:v>Bank Transfer</x:v>
      </x:c>
      <x:c r="P233" s="8" t="str">
        <x:v>Closed Won</x:v>
      </x:c>
    </x:row>
    <x:row r="234">
      <x:c r="A234" s="8" t="str">
        <x:v>ORD-2025233</x:v>
      </x:c>
      <x:c r="B234" s="9" t="n">
        <x:v>45736</x:v>
      </x:c>
      <x:c r="C234" s="8" t="str">
        <x:v>South</x:v>
      </x:c>
      <x:c r="D234" s="8" t="str">
        <x:v>Sophia Kim</x:v>
      </x:c>
      <x:c r="E234" s="8" t="str">
        <x:v>Cedar Inc</x:v>
      </x:c>
      <x:c r="F234" s="8" t="str">
        <x:v>Accessories</x:v>
      </x:c>
      <x:c r="G234" s="8" t="str">
        <x:v>Webcam HD</x:v>
      </x:c>
      <x:c r="H234" s="10" t="n">
        <x:v>13</x:v>
      </x:c>
      <x:c r="I234" s="11" t="n">
        <x:v>110</x:v>
      </x:c>
      <x:c r="J234" s="12" t="n">
        <x:v>0.1</x:v>
      </x:c>
      <x:c r="K234" s="11" t="n">
        <x:f>H234*I234*(1-J234)</x:f>
        <x:v>1287</x:v>
      </x:c>
      <x:c r="L234" s="11" t="n">
        <x:f>H234*(I234*0.62)</x:f>
        <x:v>886.6</x:v>
      </x:c>
      <x:c r="M234" s="11" t="n">
        <x:f>K234-L234</x:f>
        <x:v>400.4</x:v>
      </x:c>
      <x:c r="N234" s="8" t="str">
        <x:v>Direct</x:v>
      </x:c>
      <x:c r="O234" s="8" t="str">
        <x:v>PayPal</x:v>
      </x:c>
      <x:c r="P234" s="8" t="str">
        <x:v>Shipped</x:v>
      </x:c>
    </x:row>
    <x:row r="235">
      <x:c r="A235" s="8" t="str">
        <x:v>ORD-2025234</x:v>
      </x:c>
      <x:c r="B235" s="9" t="n">
        <x:v>45908</x:v>
      </x:c>
      <x:c r="C235" s="8" t="str">
        <x:v>West</x:v>
      </x:c>
      <x:c r="D235" s="8" t="str">
        <x:v>Olivia Wilson</x:v>
      </x:c>
      <x:c r="E235" s="8" t="str">
        <x:v>GreenLeaf Inc</x:v>
      </x:c>
      <x:c r="F235" s="8" t="str">
        <x:v>Services</x:v>
      </x:c>
      <x:c r="G235" s="8" t="str">
        <x:v>Support Plus</x:v>
      </x:c>
      <x:c r="H235" s="10" t="n">
        <x:v>24</x:v>
      </x:c>
      <x:c r="I235" s="11" t="n">
        <x:v>650</x:v>
      </x:c>
      <x:c r="J235" s="12" t="n">
        <x:v>0.2</x:v>
      </x:c>
      <x:c r="K235" s="11" t="n">
        <x:f>H235*I235*(1-J235)</x:f>
        <x:v>12480</x:v>
      </x:c>
      <x:c r="L235" s="11" t="n">
        <x:f>H235*(I235*0.62)</x:f>
        <x:v>9672</x:v>
      </x:c>
      <x:c r="M235" s="11" t="n">
        <x:f>K235-L235</x:f>
        <x:v>2808</x:v>
      </x:c>
      <x:c r="N235" s="8" t="str">
        <x:v>Partner</x:v>
      </x:c>
      <x:c r="O235" s="8" t="str">
        <x:v>Bank Transfer</x:v>
      </x:c>
      <x:c r="P235" s="8" t="str">
        <x:v>Closed Won</x:v>
      </x:c>
    </x:row>
    <x:row r="236">
      <x:c r="A236" s="8" t="str">
        <x:v>ORD-2025235</x:v>
      </x:c>
      <x:c r="B236" s="9" t="n">
        <x:v>45935</x:v>
      </x:c>
      <x:c r="C236" s="8" t="str">
        <x:v>North</x:v>
      </x:c>
      <x:c r="D236" s="8" t="str">
        <x:v>Mason Lee</x:v>
      </x:c>
      <x:c r="E236" s="8" t="str">
        <x:v>Summit LLC</x:v>
      </x:c>
      <x:c r="F236" s="8" t="str">
        <x:v>Accessories</x:v>
      </x:c>
      <x:c r="G236" s="8" t="str">
        <x:v>Keyboard Pro</x:v>
      </x:c>
      <x:c r="H236" s="10" t="n">
        <x:v>3</x:v>
      </x:c>
      <x:c r="I236" s="11" t="n">
        <x:v>95</x:v>
      </x:c>
      <x:c r="J236" s="12" t="n">
        <x:v>0.2</x:v>
      </x:c>
      <x:c r="K236" s="11" t="n">
        <x:f>H236*I236*(1-J236)</x:f>
        <x:v>228</x:v>
      </x:c>
      <x:c r="L236" s="11" t="n">
        <x:f>H236*(I236*0.62)</x:f>
        <x:v>176.7</x:v>
      </x:c>
      <x:c r="M236" s="11" t="n">
        <x:f>K236-L236</x:f>
        <x:v>51.30000000000001</x:v>
      </x:c>
      <x:c r="N236" s="8" t="str">
        <x:v>Online</x:v>
      </x:c>
      <x:c r="O236" s="8" t="str">
        <x:v>Credit Card</x:v>
      </x:c>
      <x:c r="P236" s="8" t="str">
        <x:v>Shipped</x:v>
      </x:c>
    </x:row>
    <x:row r="237">
      <x:c r="A237" s="8" t="str">
        <x:v>ORD-2025236</x:v>
      </x:c>
      <x:c r="B237" s="9" t="n">
        <x:v>45980</x:v>
      </x:c>
      <x:c r="C237" s="8" t="str">
        <x:v>South</x:v>
      </x:c>
      <x:c r="D237" s="8" t="str">
        <x:v>Liam Chen</x:v>
      </x:c>
      <x:c r="E237" s="8" t="str">
        <x:v>Urban Group</x:v>
      </x:c>
      <x:c r="F237" s="8" t="str">
        <x:v>Accessories</x:v>
      </x:c>
      <x:c r="G237" s="8" t="str">
        <x:v>Keyboard Pro</x:v>
      </x:c>
      <x:c r="H237" s="10" t="n">
        <x:v>1</x:v>
      </x:c>
      <x:c r="I237" s="11" t="n">
        <x:v>95</x:v>
      </x:c>
      <x:c r="J237" s="12" t="n">
        <x:v>0</x:v>
      </x:c>
      <x:c r="K237" s="11" t="n">
        <x:f>H237*I237*(1-J237)</x:f>
        <x:v>95</x:v>
      </x:c>
      <x:c r="L237" s="11" t="n">
        <x:f>H237*(I237*0.62)</x:f>
        <x:v>58.9</x:v>
      </x:c>
      <x:c r="M237" s="11" t="n">
        <x:f>K237-L237</x:f>
        <x:v>36.1</x:v>
      </x:c>
      <x:c r="N237" s="8" t="str">
        <x:v>Online</x:v>
      </x:c>
      <x:c r="O237" s="8" t="str">
        <x:v>PayPal</x:v>
      </x:c>
      <x:c r="P237" s="8" t="str">
        <x:v>Closed Won</x:v>
      </x:c>
    </x:row>
    <x:row r="238">
      <x:c r="A238" s="8" t="str">
        <x:v>ORD-2025237</x:v>
      </x:c>
      <x:c r="B238" s="9" t="n">
        <x:v>45666</x:v>
      </x:c>
      <x:c r="C238" s="8" t="str">
        <x:v>North</x:v>
      </x:c>
      <x:c r="D238" s="8" t="str">
        <x:v>Mason Lee</x:v>
      </x:c>
      <x:c r="E238" s="8" t="str">
        <x:v>Maple Co</x:v>
      </x:c>
      <x:c r="F238" s="8" t="str">
        <x:v>Accessories</x:v>
      </x:c>
      <x:c r="G238" s="8" t="str">
        <x:v>Headset</x:v>
      </x:c>
      <x:c r="H238" s="10" t="n">
        <x:v>14</x:v>
      </x:c>
      <x:c r="I238" s="11" t="n">
        <x:v>85</x:v>
      </x:c>
      <x:c r="J238" s="12" t="n">
        <x:v>0</x:v>
      </x:c>
      <x:c r="K238" s="11" t="n">
        <x:f>H238*I238*(1-J238)</x:f>
        <x:v>1190</x:v>
      </x:c>
      <x:c r="L238" s="11" t="n">
        <x:f>H238*(I238*0.62)</x:f>
        <x:v>737.8000000000001</x:v>
      </x:c>
      <x:c r="M238" s="11" t="n">
        <x:f>K238-L238</x:f>
        <x:v>452.19999999999993</x:v>
      </x:c>
      <x:c r="N238" s="8" t="str">
        <x:v>Direct</x:v>
      </x:c>
      <x:c r="O238" s="8" t="str">
        <x:v>Invoice</x:v>
      </x:c>
      <x:c r="P238" s="8" t="str">
        <x:v>Pending</x:v>
      </x:c>
    </x:row>
    <x:row r="239">
      <x:c r="A239" s="8" t="str">
        <x:v>ORD-2025238</x:v>
      </x:c>
      <x:c r="B239" s="9" t="n">
        <x:v>45915</x:v>
      </x:c>
      <x:c r="C239" s="8" t="str">
        <x:v>West</x:v>
      </x:c>
      <x:c r="D239" s="8" t="str">
        <x:v>Noah Davis</x:v>
      </x:c>
      <x:c r="E239" s="8" t="str">
        <x:v>Pioneer Inc</x:v>
      </x:c>
      <x:c r="F239" s="8" t="str">
        <x:v>Services</x:v>
      </x:c>
      <x:c r="G239" s="8" t="str">
        <x:v>Implementation</x:v>
      </x:c>
      <x:c r="H239" s="10" t="n">
        <x:v>4</x:v>
      </x:c>
      <x:c r="I239" s="11" t="n">
        <x:v>2500</x:v>
      </x:c>
      <x:c r="J239" s="12" t="n">
        <x:v>0.1</x:v>
      </x:c>
      <x:c r="K239" s="11" t="n">
        <x:f>H239*I239*(1-J239)</x:f>
        <x:v>9000</x:v>
      </x:c>
      <x:c r="L239" s="11" t="n">
        <x:f>H239*(I239*0.62)</x:f>
        <x:v>6200</x:v>
      </x:c>
      <x:c r="M239" s="11" t="n">
        <x:f>K239-L239</x:f>
        <x:v>2800</x:v>
      </x:c>
      <x:c r="N239" s="8" t="str">
        <x:v>Direct</x:v>
      </x:c>
      <x:c r="O239" s="8" t="str">
        <x:v>Bank Transfer</x:v>
      </x:c>
      <x:c r="P239" s="8" t="str">
        <x:v>Closed Won</x:v>
      </x:c>
    </x:row>
    <x:row r="240">
      <x:c r="A240" s="8" t="str">
        <x:v>ORD-2025239</x:v>
      </x:c>
      <x:c r="B240" s="9" t="n">
        <x:v>45794</x:v>
      </x:c>
      <x:c r="C240" s="8" t="str">
        <x:v>West</x:v>
      </x:c>
      <x:c r="D240" s="8" t="str">
        <x:v>Liam Chen</x:v>
      </x:c>
      <x:c r="E240" s="8" t="str">
        <x:v>Harbor Group</x:v>
      </x:c>
      <x:c r="F240" s="8" t="str">
        <x:v>Services</x:v>
      </x:c>
      <x:c r="G240" s="8" t="str">
        <x:v>Support Plus</x:v>
      </x:c>
      <x:c r="H240" s="10" t="n">
        <x:v>13</x:v>
      </x:c>
      <x:c r="I240" s="11" t="n">
        <x:v>650</x:v>
      </x:c>
      <x:c r="J240" s="12" t="n">
        <x:v>0.05</x:v>
      </x:c>
      <x:c r="K240" s="11" t="n">
        <x:f>H240*I240*(1-J240)</x:f>
        <x:v>8027.5</x:v>
      </x:c>
      <x:c r="L240" s="11" t="n">
        <x:f>H240*(I240*0.62)</x:f>
        <x:v>5239</x:v>
      </x:c>
      <x:c r="M240" s="11" t="n">
        <x:f>K240-L240</x:f>
        <x:v>2788.5</x:v>
      </x:c>
      <x:c r="N240" s="8" t="str">
        <x:v>Online</x:v>
      </x:c>
      <x:c r="O240" s="8" t="str">
        <x:v>Bank Transfer</x:v>
      </x:c>
      <x:c r="P240" s="8" t="str">
        <x:v>Cancelled</x:v>
      </x:c>
    </x:row>
    <x:row r="241">
      <x:c r="A241" s="8" t="str">
        <x:v>ORD-2025240</x:v>
      </x:c>
      <x:c r="B241" s="9" t="n">
        <x:v>46008</x:v>
      </x:c>
      <x:c r="C241" s="8" t="str">
        <x:v>North</x:v>
      </x:c>
      <x:c r="D241" s="8" t="str">
        <x:v>Ava Patel</x:v>
      </x:c>
      <x:c r="E241" s="8" t="str">
        <x:v>BlueSky Group</x:v>
      </x:c>
      <x:c r="F241" s="8" t="str">
        <x:v>Hardware</x:v>
      </x:c>
      <x:c r="G241" s="8" t="str">
        <x:v>Dock Station</x:v>
      </x:c>
      <x:c r="H241" s="10" t="n">
        <x:v>13</x:v>
      </x:c>
      <x:c r="I241" s="11" t="n">
        <x:v>180</x:v>
      </x:c>
      <x:c r="J241" s="12" t="n">
        <x:v>0.05</x:v>
      </x:c>
      <x:c r="K241" s="11" t="n">
        <x:f>H241*I241*(1-J241)</x:f>
        <x:v>2223</x:v>
      </x:c>
      <x:c r="L241" s="11" t="n">
        <x:f>H241*(I241*0.62)</x:f>
        <x:v>1450.8</x:v>
      </x:c>
      <x:c r="M241" s="11" t="n">
        <x:f>K241-L241</x:f>
        <x:v>772.2</x:v>
      </x:c>
      <x:c r="N241" s="8" t="str">
        <x:v>Partner</x:v>
      </x:c>
      <x:c r="O241" s="8" t="str">
        <x:v>PayPal</x:v>
      </x:c>
      <x:c r="P241" s="8" t="str">
        <x:v>Closed Won</x:v>
      </x:c>
    </x:row>
    <x:row r="242">
      <x:c r="A242" s="8" t="str">
        <x:v>ORD-2025241</x:v>
      </x:c>
      <x:c r="B242" s="9" t="n">
        <x:v>45700</x:v>
      </x:c>
      <x:c r="C242" s="8" t="str">
        <x:v>West</x:v>
      </x:c>
      <x:c r="D242" s="8" t="str">
        <x:v>Lucas Brown</x:v>
      </x:c>
      <x:c r="E242" s="8" t="str">
        <x:v>BrightPath Co</x:v>
      </x:c>
      <x:c r="F242" s="8" t="str">
        <x:v>Software</x:v>
      </x:c>
      <x:c r="G242" s="8" t="str">
        <x:v>Analytics Cloud</x:v>
      </x:c>
      <x:c r="H242" s="10" t="n">
        <x:v>19</x:v>
      </x:c>
      <x:c r="I242" s="11" t="n">
        <x:v>1800</x:v>
      </x:c>
      <x:c r="J242" s="12" t="n">
        <x:v>0.2</x:v>
      </x:c>
      <x:c r="K242" s="11" t="n">
        <x:f>H242*I242*(1-J242)</x:f>
        <x:v>27360</x:v>
      </x:c>
      <x:c r="L242" s="11" t="n">
        <x:f>H242*(I242*0.62)</x:f>
        <x:v>21204</x:v>
      </x:c>
      <x:c r="M242" s="11" t="n">
        <x:f>K242-L242</x:f>
        <x:v>6156</x:v>
      </x:c>
      <x:c r="N242" s="8" t="str">
        <x:v>Direct</x:v>
      </x:c>
      <x:c r="O242" s="8" t="str">
        <x:v>Credit Card</x:v>
      </x:c>
      <x:c r="P242" s="8" t="str">
        <x:v>Closed Won</x:v>
      </x:c>
    </x:row>
    <x:row r="243">
      <x:c r="A243" s="8" t="str">
        <x:v>ORD-2025242</x:v>
      </x:c>
      <x:c r="B243" s="9" t="n">
        <x:v>45681</x:v>
      </x:c>
      <x:c r="C243" s="8" t="str">
        <x:v>North</x:v>
      </x:c>
      <x:c r="D243" s="8" t="str">
        <x:v>Ethan Garcia</x:v>
      </x:c>
      <x:c r="E243" s="8" t="str">
        <x:v>Maple Inc</x:v>
      </x:c>
      <x:c r="F243" s="8" t="str">
        <x:v>Accessories</x:v>
      </x:c>
      <x:c r="G243" s="8" t="str">
        <x:v>Webcam HD</x:v>
      </x:c>
      <x:c r="H243" s="10" t="n">
        <x:v>19</x:v>
      </x:c>
      <x:c r="I243" s="11" t="n">
        <x:v>110</x:v>
      </x:c>
      <x:c r="J243" s="12" t="n">
        <x:v>0.15</x:v>
      </x:c>
      <x:c r="K243" s="11" t="n">
        <x:f>H243*I243*(1-J243)</x:f>
        <x:v>1776.5</x:v>
      </x:c>
      <x:c r="L243" s="11" t="n">
        <x:f>H243*(I243*0.62)</x:f>
        <x:v>1295.8</x:v>
      </x:c>
      <x:c r="M243" s="11" t="n">
        <x:f>K243-L243</x:f>
        <x:v>480.70000000000005</x:v>
      </x:c>
      <x:c r="N243" s="8" t="str">
        <x:v>Direct</x:v>
      </x:c>
      <x:c r="O243" s="8" t="str">
        <x:v>Bank Transfer</x:v>
      </x:c>
      <x:c r="P243" s="8" t="str">
        <x:v>Cancelled</x:v>
      </x:c>
    </x:row>
    <x:row r="244">
      <x:c r="A244" s="8" t="str">
        <x:v>ORD-2025243</x:v>
      </x:c>
      <x:c r="B244" s="9" t="n">
        <x:v>45764</x:v>
      </x:c>
      <x:c r="C244" s="8" t="str">
        <x:v>Central</x:v>
      </x:c>
      <x:c r="D244" s="8" t="str">
        <x:v>Noah Davis</x:v>
      </x:c>
      <x:c r="E244" s="8" t="str">
        <x:v>SilverLine Co</x:v>
      </x:c>
      <x:c r="F244" s="8" t="str">
        <x:v>Services</x:v>
      </x:c>
      <x:c r="G244" s="8" t="str">
        <x:v>Implementation</x:v>
      </x:c>
      <x:c r="H244" s="10" t="n">
        <x:v>3</x:v>
      </x:c>
      <x:c r="I244" s="11" t="n">
        <x:v>2500</x:v>
      </x:c>
      <x:c r="J244" s="12" t="n">
        <x:v>0</x:v>
      </x:c>
      <x:c r="K244" s="11" t="n">
        <x:f>H244*I244*(1-J244)</x:f>
        <x:v>7500</x:v>
      </x:c>
      <x:c r="L244" s="11" t="n">
        <x:f>H244*(I244*0.62)</x:f>
        <x:v>4650</x:v>
      </x:c>
      <x:c r="M244" s="11" t="n">
        <x:f>K244-L244</x:f>
        <x:v>2850</x:v>
      </x:c>
      <x:c r="N244" s="8" t="str">
        <x:v>Direct</x:v>
      </x:c>
      <x:c r="O244" s="8" t="str">
        <x:v>Bank Transfer</x:v>
      </x:c>
      <x:c r="P244" s="8" t="str">
        <x:v>Shipped</x:v>
      </x:c>
    </x:row>
    <x:row r="245">
      <x:c r="A245" s="8" t="str">
        <x:v>ORD-2025244</x:v>
      </x:c>
      <x:c r="B245" s="9" t="n">
        <x:v>45854</x:v>
      </x:c>
      <x:c r="C245" s="8" t="str">
        <x:v>South</x:v>
      </x:c>
      <x:c r="D245" s="8" t="str">
        <x:v>Liam Chen</x:v>
      </x:c>
      <x:c r="E245" s="8" t="str">
        <x:v>Southridge LLC</x:v>
      </x:c>
      <x:c r="F245" s="8" t="str">
        <x:v>Accessories</x:v>
      </x:c>
      <x:c r="G245" s="8" t="str">
        <x:v>Webcam HD</x:v>
      </x:c>
      <x:c r="H245" s="10" t="n">
        <x:v>24</x:v>
      </x:c>
      <x:c r="I245" s="11" t="n">
        <x:v>110</x:v>
      </x:c>
      <x:c r="J245" s="12" t="n">
        <x:v>0</x:v>
      </x:c>
      <x:c r="K245" s="11" t="n">
        <x:f>H245*I245*(1-J245)</x:f>
        <x:v>2640</x:v>
      </x:c>
      <x:c r="L245" s="11" t="n">
        <x:f>H245*(I245*0.62)</x:f>
        <x:v>1636.8000000000002</x:v>
      </x:c>
      <x:c r="M245" s="11" t="n">
        <x:f>K245-L245</x:f>
        <x:v>1003.1999999999998</x:v>
      </x:c>
      <x:c r="N245" s="8" t="str">
        <x:v>Direct</x:v>
      </x:c>
      <x:c r="O245" s="8" t="str">
        <x:v>Credit Card</x:v>
      </x:c>
      <x:c r="P245" s="8" t="str">
        <x:v>Closed Won</x:v>
      </x:c>
    </x:row>
    <x:row r="246">
      <x:c r="A246" s="8" t="str">
        <x:v>ORD-2025245</x:v>
      </x:c>
      <x:c r="B246" s="9" t="n">
        <x:v>45967</x:v>
      </x:c>
      <x:c r="C246" s="8" t="str">
        <x:v>Central</x:v>
      </x:c>
      <x:c r="D246" s="8" t="str">
        <x:v>Emma Martin</x:v>
      </x:c>
      <x:c r="E246" s="8" t="str">
        <x:v>SilverLine Co</x:v>
      </x:c>
      <x:c r="F246" s="8" t="str">
        <x:v>Software</x:v>
      </x:c>
      <x:c r="G246" s="8" t="str">
        <x:v>HR Suite</x:v>
      </x:c>
      <x:c r="H246" s="10" t="n">
        <x:v>25</x:v>
      </x:c>
      <x:c r="I246" s="11" t="n">
        <x:v>950</x:v>
      </x:c>
      <x:c r="J246" s="12" t="n">
        <x:v>0</x:v>
      </x:c>
      <x:c r="K246" s="11" t="n">
        <x:f>H246*I246*(1-J246)</x:f>
        <x:v>23750</x:v>
      </x:c>
      <x:c r="L246" s="11" t="n">
        <x:f>H246*(I246*0.62)</x:f>
        <x:v>14725</x:v>
      </x:c>
      <x:c r="M246" s="11" t="n">
        <x:f>K246-L246</x:f>
        <x:v>9025</x:v>
      </x:c>
      <x:c r="N246" s="8" t="str">
        <x:v>Direct</x:v>
      </x:c>
      <x:c r="O246" s="8" t="str">
        <x:v>Invoice</x:v>
      </x:c>
      <x:c r="P246" s="8" t="str">
        <x:v>Shipped</x:v>
      </x:c>
    </x:row>
    <x:row r="247">
      <x:c r="A247" s="8" t="str">
        <x:v>ORD-2025246</x:v>
      </x:c>
      <x:c r="B247" s="9" t="n">
        <x:v>45774</x:v>
      </x:c>
      <x:c r="C247" s="8" t="str">
        <x:v>East</x:v>
      </x:c>
      <x:c r="D247" s="8" t="str">
        <x:v>Mason Lee</x:v>
      </x:c>
      <x:c r="E247" s="8" t="str">
        <x:v>SilverLine LLC</x:v>
      </x:c>
      <x:c r="F247" s="8" t="str">
        <x:v>Accessories</x:v>
      </x:c>
      <x:c r="G247" s="8" t="str">
        <x:v>Headset</x:v>
      </x:c>
      <x:c r="H247" s="10" t="n">
        <x:v>14</x:v>
      </x:c>
      <x:c r="I247" s="11" t="n">
        <x:v>85</x:v>
      </x:c>
      <x:c r="J247" s="12" t="n">
        <x:v>0</x:v>
      </x:c>
      <x:c r="K247" s="11" t="n">
        <x:f>H247*I247*(1-J247)</x:f>
        <x:v>1190</x:v>
      </x:c>
      <x:c r="L247" s="11" t="n">
        <x:f>H247*(I247*0.62)</x:f>
        <x:v>737.8000000000001</x:v>
      </x:c>
      <x:c r="M247" s="11" t="n">
        <x:f>K247-L247</x:f>
        <x:v>452.19999999999993</x:v>
      </x:c>
      <x:c r="N247" s="8" t="str">
        <x:v>Online</x:v>
      </x:c>
      <x:c r="O247" s="8" t="str">
        <x:v>PayPal</x:v>
      </x:c>
      <x:c r="P247" s="8" t="str">
        <x:v>Closed Won</x:v>
      </x:c>
    </x:row>
    <x:row r="248">
      <x:c r="A248" s="8" t="str">
        <x:v>ORD-2025247</x:v>
      </x:c>
      <x:c r="B248" s="9" t="n">
        <x:v>45695</x:v>
      </x:c>
      <x:c r="C248" s="8" t="str">
        <x:v>North</x:v>
      </x:c>
      <x:c r="D248" s="8" t="str">
        <x:v>Ethan Garcia</x:v>
      </x:c>
      <x:c r="E248" s="8" t="str">
        <x:v>Urban Group</x:v>
      </x:c>
      <x:c r="F248" s="8" t="str">
        <x:v>Services</x:v>
      </x:c>
      <x:c r="G248" s="8" t="str">
        <x:v>Training</x:v>
      </x:c>
      <x:c r="H248" s="10" t="n">
        <x:v>13</x:v>
      </x:c>
      <x:c r="I248" s="11" t="n">
        <x:v>900</x:v>
      </x:c>
      <x:c r="J248" s="12" t="n">
        <x:v>0.15</x:v>
      </x:c>
      <x:c r="K248" s="11" t="n">
        <x:f>H248*I248*(1-J248)</x:f>
        <x:v>9945</x:v>
      </x:c>
      <x:c r="L248" s="11" t="n">
        <x:f>H248*(I248*0.62)</x:f>
        <x:v>7254</x:v>
      </x:c>
      <x:c r="M248" s="11" t="n">
        <x:f>K248-L248</x:f>
        <x:v>2691</x:v>
      </x:c>
      <x:c r="N248" s="8" t="str">
        <x:v>Online</x:v>
      </x:c>
      <x:c r="O248" s="8" t="str">
        <x:v>Bank Transfer</x:v>
      </x:c>
      <x:c r="P248" s="8" t="str">
        <x:v>Shipped</x:v>
      </x:c>
    </x:row>
    <x:row r="249">
      <x:c r="A249" s="8" t="str">
        <x:v>ORD-2025248</x:v>
      </x:c>
      <x:c r="B249" s="9" t="n">
        <x:v>45712</x:v>
      </x:c>
      <x:c r="C249" s="8" t="str">
        <x:v>North</x:v>
      </x:c>
      <x:c r="D249" s="8" t="str">
        <x:v>Ava Patel</x:v>
      </x:c>
      <x:c r="E249" s="8" t="str">
        <x:v>Vertex Group</x:v>
      </x:c>
      <x:c r="F249" s="8" t="str">
        <x:v>Services</x:v>
      </x:c>
      <x:c r="G249" s="8" t="str">
        <x:v>Support Plus</x:v>
      </x:c>
      <x:c r="H249" s="10" t="n">
        <x:v>15</x:v>
      </x:c>
      <x:c r="I249" s="11" t="n">
        <x:v>650</x:v>
      </x:c>
      <x:c r="J249" s="12" t="n">
        <x:v>0</x:v>
      </x:c>
      <x:c r="K249" s="11" t="n">
        <x:f>H249*I249*(1-J249)</x:f>
        <x:v>9750</x:v>
      </x:c>
      <x:c r="L249" s="11" t="n">
        <x:f>H249*(I249*0.62)</x:f>
        <x:v>6045</x:v>
      </x:c>
      <x:c r="M249" s="11" t="n">
        <x:f>K249-L249</x:f>
        <x:v>3705</x:v>
      </x:c>
      <x:c r="N249" s="8" t="str">
        <x:v>Partner</x:v>
      </x:c>
      <x:c r="O249" s="8" t="str">
        <x:v>Credit Card</x:v>
      </x:c>
      <x:c r="P249" s="8" t="str">
        <x:v>Closed Won</x:v>
      </x:c>
    </x:row>
    <x:row r="250">
      <x:c r="A250" s="8" t="str">
        <x:v>ORD-2025249</x:v>
      </x:c>
      <x:c r="B250" s="9" t="n">
        <x:v>45887</x:v>
      </x:c>
      <x:c r="C250" s="8" t="str">
        <x:v>Central</x:v>
      </x:c>
      <x:c r="D250" s="8" t="str">
        <x:v>Mason Lee</x:v>
      </x:c>
      <x:c r="E250" s="8" t="str">
        <x:v>Southridge Inc</x:v>
      </x:c>
      <x:c r="F250" s="8" t="str">
        <x:v>Hardware</x:v>
      </x:c>
      <x:c r="G250" s="8" t="str">
        <x:v>Monitor 27</x:v>
      </x:c>
      <x:c r="H250" s="10" t="n">
        <x:v>14</x:v>
      </x:c>
      <x:c r="I250" s="11" t="n">
        <x:v>320</x:v>
      </x:c>
      <x:c r="J250" s="12" t="n">
        <x:v>0</x:v>
      </x:c>
      <x:c r="K250" s="11" t="n">
        <x:f>H250*I250*(1-J250)</x:f>
        <x:v>4480</x:v>
      </x:c>
      <x:c r="L250" s="11" t="n">
        <x:f>H250*(I250*0.62)</x:f>
        <x:v>2777.6</x:v>
      </x:c>
      <x:c r="M250" s="11" t="n">
        <x:f>K250-L250</x:f>
        <x:v>1702.4</x:v>
      </x:c>
      <x:c r="N250" s="8" t="str">
        <x:v>Direct</x:v>
      </x:c>
      <x:c r="O250" s="8" t="str">
        <x:v>Credit Card</x:v>
      </x:c>
      <x:c r="P250" s="8" t="str">
        <x:v>Closed Won</x:v>
      </x:c>
    </x:row>
    <x:row r="251">
      <x:c r="A251" s="8" t="str">
        <x:v>ORD-2025250</x:v>
      </x:c>
      <x:c r="B251" s="9" t="n">
        <x:v>45855</x:v>
      </x:c>
      <x:c r="C251" s="8" t="str">
        <x:v>North</x:v>
      </x:c>
      <x:c r="D251" s="8" t="str">
        <x:v>Ethan Garcia</x:v>
      </x:c>
      <x:c r="E251" s="8" t="str">
        <x:v>RedStone LLC</x:v>
      </x:c>
      <x:c r="F251" s="8" t="str">
        <x:v>Software</x:v>
      </x:c>
      <x:c r="G251" s="8" t="str">
        <x:v>HR Suite</x:v>
      </x:c>
      <x:c r="H251" s="10" t="n">
        <x:v>13</x:v>
      </x:c>
      <x:c r="I251" s="11" t="n">
        <x:v>950</x:v>
      </x:c>
      <x:c r="J251" s="12" t="n">
        <x:v>0.2</x:v>
      </x:c>
      <x:c r="K251" s="11" t="n">
        <x:f>H251*I251*(1-J251)</x:f>
        <x:v>9880</x:v>
      </x:c>
      <x:c r="L251" s="11" t="n">
        <x:f>H251*(I251*0.62)</x:f>
        <x:v>7657</x:v>
      </x:c>
      <x:c r="M251" s="11" t="n">
        <x:f>K251-L251</x:f>
        <x:v>2223</x:v>
      </x:c>
      <x:c r="N251" s="8" t="str">
        <x:v>Direct</x:v>
      </x:c>
      <x:c r="O251" s="8" t="str">
        <x:v>Bank Transfer</x:v>
      </x:c>
      <x:c r="P251" s="8" t="str">
        <x:v>Shipped</x:v>
      </x:c>
    </x:row>
    <x:row r="252">
      <x:c r="A252" s="8" t="str">
        <x:v>ORD-2025251</x:v>
      </x:c>
      <x:c r="B252" s="9" t="n">
        <x:v>45744</x:v>
      </x:c>
      <x:c r="C252" s="8" t="str">
        <x:v>South</x:v>
      </x:c>
      <x:c r="D252" s="8" t="str">
        <x:v>Ethan Garcia</x:v>
      </x:c>
      <x:c r="E252" s="8" t="str">
        <x:v>Vertex Co</x:v>
      </x:c>
      <x:c r="F252" s="8" t="str">
        <x:v>Hardware</x:v>
      </x:c>
      <x:c r="G252" s="8" t="str">
        <x:v>Monitor 27</x:v>
      </x:c>
      <x:c r="H252" s="10" t="n">
        <x:v>9</x:v>
      </x:c>
      <x:c r="I252" s="11" t="n">
        <x:v>320</x:v>
      </x:c>
      <x:c r="J252" s="12" t="n">
        <x:v>0.05</x:v>
      </x:c>
      <x:c r="K252" s="11" t="n">
        <x:f>H252*I252*(1-J252)</x:f>
        <x:v>2736</x:v>
      </x:c>
      <x:c r="L252" s="11" t="n">
        <x:f>H252*(I252*0.62)</x:f>
        <x:v>1785.6000000000001</x:v>
      </x:c>
      <x:c r="M252" s="11" t="n">
        <x:f>K252-L252</x:f>
        <x:v>950.3999999999999</x:v>
      </x:c>
      <x:c r="N252" s="8" t="str">
        <x:v>Direct</x:v>
      </x:c>
      <x:c r="O252" s="8" t="str">
        <x:v>Credit Card</x:v>
      </x:c>
      <x:c r="P252" s="8" t="str">
        <x:v>Closed Won</x:v>
      </x:c>
    </x:row>
    <x:row r="253">
      <x:c r="A253" s="8" t="str">
        <x:v>ORD-2025252</x:v>
      </x:c>
      <x:c r="B253" s="9" t="n">
        <x:v>45811</x:v>
      </x:c>
      <x:c r="C253" s="8" t="str">
        <x:v>West</x:v>
      </x:c>
      <x:c r="D253" s="8" t="str">
        <x:v>Liam Chen</x:v>
      </x:c>
      <x:c r="E253" s="8" t="str">
        <x:v>Harbor Co</x:v>
      </x:c>
      <x:c r="F253" s="8" t="str">
        <x:v>Services</x:v>
      </x:c>
      <x:c r="G253" s="8" t="str">
        <x:v>Consulting Day</x:v>
      </x:c>
      <x:c r="H253" s="10" t="n">
        <x:v>9</x:v>
      </x:c>
      <x:c r="I253" s="11" t="n">
        <x:v>1400</x:v>
      </x:c>
      <x:c r="J253" s="12" t="n">
        <x:v>0</x:v>
      </x:c>
      <x:c r="K253" s="11" t="n">
        <x:f>H253*I253*(1-J253)</x:f>
        <x:v>12600</x:v>
      </x:c>
      <x:c r="L253" s="11" t="n">
        <x:f>H253*(I253*0.62)</x:f>
        <x:v>7812</x:v>
      </x:c>
      <x:c r="M253" s="11" t="n">
        <x:f>K253-L253</x:f>
        <x:v>4788</x:v>
      </x:c>
      <x:c r="N253" s="8" t="str">
        <x:v>Online</x:v>
      </x:c>
      <x:c r="O253" s="8" t="str">
        <x:v>PayPal</x:v>
      </x:c>
      <x:c r="P253" s="8" t="str">
        <x:v>Shipped</x:v>
      </x:c>
    </x:row>
    <x:row r="254">
      <x:c r="A254" s="8" t="str">
        <x:v>ORD-2025253</x:v>
      </x:c>
      <x:c r="B254" s="9" t="n">
        <x:v>45712</x:v>
      </x:c>
      <x:c r="C254" s="8" t="str">
        <x:v>South</x:v>
      </x:c>
      <x:c r="D254" s="8" t="str">
        <x:v>Ethan Garcia</x:v>
      </x:c>
      <x:c r="E254" s="8" t="str">
        <x:v>Acme LLC</x:v>
      </x:c>
      <x:c r="F254" s="8" t="str">
        <x:v>Hardware</x:v>
      </x:c>
      <x:c r="G254" s="8" t="str">
        <x:v>Monitor 27</x:v>
      </x:c>
      <x:c r="H254" s="10" t="n">
        <x:v>13</x:v>
      </x:c>
      <x:c r="I254" s="11" t="n">
        <x:v>320</x:v>
      </x:c>
      <x:c r="J254" s="12" t="n">
        <x:v>0</x:v>
      </x:c>
      <x:c r="K254" s="11" t="n">
        <x:f>H254*I254*(1-J254)</x:f>
        <x:v>4160</x:v>
      </x:c>
      <x:c r="L254" s="11" t="n">
        <x:f>H254*(I254*0.62)</x:f>
        <x:v>2579.2000000000003</x:v>
      </x:c>
      <x:c r="M254" s="11" t="n">
        <x:f>K254-L254</x:f>
        <x:v>1580.7999999999997</x:v>
      </x:c>
      <x:c r="N254" s="8" t="str">
        <x:v>Online</x:v>
      </x:c>
      <x:c r="O254" s="8" t="str">
        <x:v>PayPal</x:v>
      </x:c>
      <x:c r="P254" s="8" t="str">
        <x:v>Returned</x:v>
      </x:c>
    </x:row>
    <x:row r="255">
      <x:c r="A255" s="8" t="str">
        <x:v>ORD-2025254</x:v>
      </x:c>
      <x:c r="B255" s="9" t="n">
        <x:v>45829</x:v>
      </x:c>
      <x:c r="C255" s="8" t="str">
        <x:v>West</x:v>
      </x:c>
      <x:c r="D255" s="8" t="str">
        <x:v>Emma Martin</x:v>
      </x:c>
      <x:c r="E255" s="8" t="str">
        <x:v>Urban Inc</x:v>
      </x:c>
      <x:c r="F255" s="8" t="str">
        <x:v>Services</x:v>
      </x:c>
      <x:c r="G255" s="8" t="str">
        <x:v>Consulting Day</x:v>
      </x:c>
      <x:c r="H255" s="10" t="n">
        <x:v>10</x:v>
      </x:c>
      <x:c r="I255" s="11" t="n">
        <x:v>1400</x:v>
      </x:c>
      <x:c r="J255" s="12" t="n">
        <x:v>0</x:v>
      </x:c>
      <x:c r="K255" s="11" t="n">
        <x:f>H255*I255*(1-J255)</x:f>
        <x:v>14000</x:v>
      </x:c>
      <x:c r="L255" s="11" t="n">
        <x:f>H255*(I255*0.62)</x:f>
        <x:v>8680</x:v>
      </x:c>
      <x:c r="M255" s="11" t="n">
        <x:f>K255-L255</x:f>
        <x:v>5320</x:v>
      </x:c>
      <x:c r="N255" s="8" t="str">
        <x:v>Online</x:v>
      </x:c>
      <x:c r="O255" s="8" t="str">
        <x:v>Bank Transfer</x:v>
      </x:c>
      <x:c r="P255" s="8" t="str">
        <x:v>Pending</x:v>
      </x:c>
    </x:row>
    <x:row r="256">
      <x:c r="A256" s="8" t="str">
        <x:v>ORD-2025255</x:v>
      </x:c>
      <x:c r="B256" s="9" t="n">
        <x:v>45821</x:v>
      </x:c>
      <x:c r="C256" s="8" t="str">
        <x:v>East</x:v>
      </x:c>
      <x:c r="D256" s="8" t="str">
        <x:v>Olivia Wilson</x:v>
      </x:c>
      <x:c r="E256" s="8" t="str">
        <x:v>Ironwood Inc</x:v>
      </x:c>
      <x:c r="F256" s="8" t="str">
        <x:v>Hardware</x:v>
      </x:c>
      <x:c r="G256" s="8" t="str">
        <x:v>Monitor 27</x:v>
      </x:c>
      <x:c r="H256" s="10" t="n">
        <x:v>8</x:v>
      </x:c>
      <x:c r="I256" s="11" t="n">
        <x:v>320</x:v>
      </x:c>
      <x:c r="J256" s="12" t="n">
        <x:v>0</x:v>
      </x:c>
      <x:c r="K256" s="11" t="n">
        <x:f>H256*I256*(1-J256)</x:f>
        <x:v>2560</x:v>
      </x:c>
      <x:c r="L256" s="11" t="n">
        <x:f>H256*(I256*0.62)</x:f>
        <x:v>1587.2</x:v>
      </x:c>
      <x:c r="M256" s="11" t="n">
        <x:f>K256-L256</x:f>
        <x:v>972.8</x:v>
      </x:c>
      <x:c r="N256" s="8" t="str">
        <x:v>Partner</x:v>
      </x:c>
      <x:c r="O256" s="8" t="str">
        <x:v>Invoice</x:v>
      </x:c>
      <x:c r="P256" s="8" t="str">
        <x:v>Returned</x:v>
      </x:c>
    </x:row>
    <x:row r="257">
      <x:c r="A257" s="8" t="str">
        <x:v>ORD-2025256</x:v>
      </x:c>
      <x:c r="B257" s="9" t="n">
        <x:v>45716</x:v>
      </x:c>
      <x:c r="C257" s="8" t="str">
        <x:v>Central</x:v>
      </x:c>
      <x:c r="D257" s="8" t="str">
        <x:v>Mia Johnson</x:v>
      </x:c>
      <x:c r="E257" s="8" t="str">
        <x:v>Ironwood Group</x:v>
      </x:c>
      <x:c r="F257" s="8" t="str">
        <x:v>Accessories</x:v>
      </x:c>
      <x:c r="G257" s="8" t="str">
        <x:v>Webcam HD</x:v>
      </x:c>
      <x:c r="H257" s="10" t="n">
        <x:v>18</x:v>
      </x:c>
      <x:c r="I257" s="11" t="n">
        <x:v>110</x:v>
      </x:c>
      <x:c r="J257" s="12" t="n">
        <x:v>0</x:v>
      </x:c>
      <x:c r="K257" s="11" t="n">
        <x:f>H257*I257*(1-J257)</x:f>
        <x:v>1980</x:v>
      </x:c>
      <x:c r="L257" s="11" t="n">
        <x:f>H257*(I257*0.62)</x:f>
        <x:v>1227.6000000000001</x:v>
      </x:c>
      <x:c r="M257" s="11" t="n">
        <x:f>K257-L257</x:f>
        <x:v>752.3999999999999</x:v>
      </x:c>
      <x:c r="N257" s="8" t="str">
        <x:v>Online</x:v>
      </x:c>
      <x:c r="O257" s="8" t="str">
        <x:v>Credit Card</x:v>
      </x:c>
      <x:c r="P257" s="8" t="str">
        <x:v>Cancelled</x:v>
      </x:c>
    </x:row>
    <x:row r="258">
      <x:c r="A258" s="8" t="str">
        <x:v>ORD-2025257</x:v>
      </x:c>
      <x:c r="B258" s="9" t="n">
        <x:v>45882</x:v>
      </x:c>
      <x:c r="C258" s="8" t="str">
        <x:v>East</x:v>
      </x:c>
      <x:c r="D258" s="8" t="str">
        <x:v>Liam Chen</x:v>
      </x:c>
      <x:c r="E258" s="8" t="str">
        <x:v>RedStone LLC</x:v>
      </x:c>
      <x:c r="F258" s="8" t="str">
        <x:v>Accessories</x:v>
      </x:c>
      <x:c r="G258" s="8" t="str">
        <x:v>Keyboard Pro</x:v>
      </x:c>
      <x:c r="H258" s="10" t="n">
        <x:v>22</x:v>
      </x:c>
      <x:c r="I258" s="11" t="n">
        <x:v>95</x:v>
      </x:c>
      <x:c r="J258" s="12" t="n">
        <x:v>0.05</x:v>
      </x:c>
      <x:c r="K258" s="11" t="n">
        <x:f>H258*I258*(1-J258)</x:f>
        <x:v>1985.5</x:v>
      </x:c>
      <x:c r="L258" s="11" t="n">
        <x:f>H258*(I258*0.62)</x:f>
        <x:v>1295.8</x:v>
      </x:c>
      <x:c r="M258" s="11" t="n">
        <x:f>K258-L258</x:f>
        <x:v>689.7</x:v>
      </x:c>
      <x:c r="N258" s="8" t="str">
        <x:v>Direct</x:v>
      </x:c>
      <x:c r="O258" s="8" t="str">
        <x:v>Invoice</x:v>
      </x:c>
      <x:c r="P258" s="8" t="str">
        <x:v>Closed Won</x:v>
      </x:c>
    </x:row>
    <x:row r="259">
      <x:c r="A259" s="8" t="str">
        <x:v>ORD-2025258</x:v>
      </x:c>
      <x:c r="B259" s="9" t="n">
        <x:v>45851</x:v>
      </x:c>
      <x:c r="C259" s="8" t="str">
        <x:v>North</x:v>
      </x:c>
      <x:c r="D259" s="8" t="str">
        <x:v>Olivia Wilson</x:v>
      </x:c>
      <x:c r="E259" s="8" t="str">
        <x:v>Nova LLC</x:v>
      </x:c>
      <x:c r="F259" s="8" t="str">
        <x:v>Hardware</x:v>
      </x:c>
      <x:c r="G259" s="8" t="str">
        <x:v>Monitor 27</x:v>
      </x:c>
      <x:c r="H259" s="10" t="n">
        <x:v>16</x:v>
      </x:c>
      <x:c r="I259" s="11" t="n">
        <x:v>320</x:v>
      </x:c>
      <x:c r="J259" s="12" t="n">
        <x:v>0.1</x:v>
      </x:c>
      <x:c r="K259" s="11" t="n">
        <x:f>H259*I259*(1-J259)</x:f>
        <x:v>4608</x:v>
      </x:c>
      <x:c r="L259" s="11" t="n">
        <x:f>H259*(I259*0.62)</x:f>
        <x:v>3174.4</x:v>
      </x:c>
      <x:c r="M259" s="11" t="n">
        <x:f>K259-L259</x:f>
        <x:v>1433.6</x:v>
      </x:c>
      <x:c r="N259" s="8" t="str">
        <x:v>Partner</x:v>
      </x:c>
      <x:c r="O259" s="8" t="str">
        <x:v>PayPal</x:v>
      </x:c>
      <x:c r="P259" s="8" t="str">
        <x:v>Pending</x:v>
      </x:c>
    </x:row>
    <x:row r="260">
      <x:c r="A260" s="8" t="str">
        <x:v>ORD-2025259</x:v>
      </x:c>
      <x:c r="B260" s="9" t="n">
        <x:v>45713</x:v>
      </x:c>
      <x:c r="C260" s="8" t="str">
        <x:v>South</x:v>
      </x:c>
      <x:c r="D260" s="8" t="str">
        <x:v>Sophia Kim</x:v>
      </x:c>
      <x:c r="E260" s="8" t="str">
        <x:v>GreenLeaf Inc</x:v>
      </x:c>
      <x:c r="F260" s="8" t="str">
        <x:v>Services</x:v>
      </x:c>
      <x:c r="G260" s="8" t="str">
        <x:v>Implementation</x:v>
      </x:c>
      <x:c r="H260" s="10" t="n">
        <x:v>21</x:v>
      </x:c>
      <x:c r="I260" s="11" t="n">
        <x:v>2500</x:v>
      </x:c>
      <x:c r="J260" s="12" t="n">
        <x:v>0.1</x:v>
      </x:c>
      <x:c r="K260" s="11" t="n">
        <x:f>H260*I260*(1-J260)</x:f>
        <x:v>47250</x:v>
      </x:c>
      <x:c r="L260" s="11" t="n">
        <x:f>H260*(I260*0.62)</x:f>
        <x:v>32550</x:v>
      </x:c>
      <x:c r="M260" s="11" t="n">
        <x:f>K260-L260</x:f>
        <x:v>14700</x:v>
      </x:c>
      <x:c r="N260" s="8" t="str">
        <x:v>Direct</x:v>
      </x:c>
      <x:c r="O260" s="8" t="str">
        <x:v>PayPal</x:v>
      </x:c>
      <x:c r="P260" s="8" t="str">
        <x:v>Cancelled</x:v>
      </x:c>
    </x:row>
    <x:row r="261">
      <x:c r="A261" s="8" t="str">
        <x:v>ORD-2025260</x:v>
      </x:c>
      <x:c r="B261" s="9" t="n">
        <x:v>45712</x:v>
      </x:c>
      <x:c r="C261" s="8" t="str">
        <x:v>North</x:v>
      </x:c>
      <x:c r="D261" s="8" t="str">
        <x:v>Liam Chen</x:v>
      </x:c>
      <x:c r="E261" s="8" t="str">
        <x:v>Prime Inc</x:v>
      </x:c>
      <x:c r="F261" s="8" t="str">
        <x:v>Services</x:v>
      </x:c>
      <x:c r="G261" s="8" t="str">
        <x:v>Consulting Day</x:v>
      </x:c>
      <x:c r="H261" s="10" t="n">
        <x:v>8</x:v>
      </x:c>
      <x:c r="I261" s="11" t="n">
        <x:v>1400</x:v>
      </x:c>
      <x:c r="J261" s="12" t="n">
        <x:v>0.1</x:v>
      </x:c>
      <x:c r="K261" s="11" t="n">
        <x:f>H261*I261*(1-J261)</x:f>
        <x:v>10080</x:v>
      </x:c>
      <x:c r="L261" s="11" t="n">
        <x:f>H261*(I261*0.62)</x:f>
        <x:v>6944</x:v>
      </x:c>
      <x:c r="M261" s="11" t="n">
        <x:f>K261-L261</x:f>
        <x:v>3136</x:v>
      </x:c>
      <x:c r="N261" s="8" t="str">
        <x:v>Online</x:v>
      </x:c>
      <x:c r="O261" s="8" t="str">
        <x:v>Bank Transfer</x:v>
      </x:c>
      <x:c r="P261" s="8" t="str">
        <x:v>Closed Won</x:v>
      </x:c>
    </x:row>
    <x:row r="262">
      <x:c r="A262" s="8" t="str">
        <x:v>ORD-2025261</x:v>
      </x:c>
      <x:c r="B262" s="9" t="n">
        <x:v>46005</x:v>
      </x:c>
      <x:c r="C262" s="8" t="str">
        <x:v>Central</x:v>
      </x:c>
      <x:c r="D262" s="8" t="str">
        <x:v>Mason Lee</x:v>
      </x:c>
      <x:c r="E262" s="8" t="str">
        <x:v>Urban Group</x:v>
      </x:c>
      <x:c r="F262" s="8" t="str">
        <x:v>Accessories</x:v>
      </x:c>
      <x:c r="G262" s="8" t="str">
        <x:v>Headset</x:v>
      </x:c>
      <x:c r="H262" s="10" t="n">
        <x:v>12</x:v>
      </x:c>
      <x:c r="I262" s="11" t="n">
        <x:v>85</x:v>
      </x:c>
      <x:c r="J262" s="12" t="n">
        <x:v>0</x:v>
      </x:c>
      <x:c r="K262" s="11" t="n">
        <x:f>H262*I262*(1-J262)</x:f>
        <x:v>1020</x:v>
      </x:c>
      <x:c r="L262" s="11" t="n">
        <x:f>H262*(I262*0.62)</x:f>
        <x:v>632.4000000000001</x:v>
      </x:c>
      <x:c r="M262" s="11" t="n">
        <x:f>K262-L262</x:f>
        <x:v>387.5999999999999</x:v>
      </x:c>
      <x:c r="N262" s="8" t="str">
        <x:v>Partner</x:v>
      </x:c>
      <x:c r="O262" s="8" t="str">
        <x:v>Credit Card</x:v>
      </x:c>
      <x:c r="P262" s="8" t="str">
        <x:v>Closed Won</x:v>
      </x:c>
    </x:row>
    <x:row r="263">
      <x:c r="A263" s="8" t="str">
        <x:v>ORD-2025262</x:v>
      </x:c>
      <x:c r="B263" s="9" t="n">
        <x:v>45730</x:v>
      </x:c>
      <x:c r="C263" s="8" t="str">
        <x:v>East</x:v>
      </x:c>
      <x:c r="D263" s="8" t="str">
        <x:v>Ethan Garcia</x:v>
      </x:c>
      <x:c r="E263" s="8" t="str">
        <x:v>BrightPath Group</x:v>
      </x:c>
      <x:c r="F263" s="8" t="str">
        <x:v>Software</x:v>
      </x:c>
      <x:c r="G263" s="8" t="str">
        <x:v>CRM Pro</x:v>
      </x:c>
      <x:c r="H263" s="10" t="n">
        <x:v>15</x:v>
      </x:c>
      <x:c r="I263" s="11" t="n">
        <x:v>1200</x:v>
      </x:c>
      <x:c r="J263" s="12" t="n">
        <x:v>0.2</x:v>
      </x:c>
      <x:c r="K263" s="11" t="n">
        <x:f>H263*I263*(1-J263)</x:f>
        <x:v>14400</x:v>
      </x:c>
      <x:c r="L263" s="11" t="n">
        <x:f>H263*(I263*0.62)</x:f>
        <x:v>11160</x:v>
      </x:c>
      <x:c r="M263" s="11" t="n">
        <x:f>K263-L263</x:f>
        <x:v>3240</x:v>
      </x:c>
      <x:c r="N263" s="8" t="str">
        <x:v>Direct</x:v>
      </x:c>
      <x:c r="O263" s="8" t="str">
        <x:v>PayPal</x:v>
      </x:c>
      <x:c r="P263" s="8" t="str">
        <x:v>Closed Won</x:v>
      </x:c>
    </x:row>
    <x:row r="264">
      <x:c r="A264" s="8" t="str">
        <x:v>ORD-2025263</x:v>
      </x:c>
      <x:c r="B264" s="9" t="n">
        <x:v>46014</x:v>
      </x:c>
      <x:c r="C264" s="8" t="str">
        <x:v>West</x:v>
      </x:c>
      <x:c r="D264" s="8" t="str">
        <x:v>Sophia Kim</x:v>
      </x:c>
      <x:c r="E264" s="8" t="str">
        <x:v>BlueSky LLC</x:v>
      </x:c>
      <x:c r="F264" s="8" t="str">
        <x:v>Software</x:v>
      </x:c>
      <x:c r="G264" s="8" t="str">
        <x:v>ProjectFlow</x:v>
      </x:c>
      <x:c r="H264" s="10" t="n">
        <x:v>10</x:v>
      </x:c>
      <x:c r="I264" s="11" t="n">
        <x:v>700</x:v>
      </x:c>
      <x:c r="J264" s="12" t="n">
        <x:v>0</x:v>
      </x:c>
      <x:c r="K264" s="11" t="n">
        <x:f>H264*I264*(1-J264)</x:f>
        <x:v>7000</x:v>
      </x:c>
      <x:c r="L264" s="11" t="n">
        <x:f>H264*(I264*0.62)</x:f>
        <x:v>4340</x:v>
      </x:c>
      <x:c r="M264" s="11" t="n">
        <x:f>K264-L264</x:f>
        <x:v>2660</x:v>
      </x:c>
      <x:c r="N264" s="8" t="str">
        <x:v>Online</x:v>
      </x:c>
      <x:c r="O264" s="8" t="str">
        <x:v>Credit Card</x:v>
      </x:c>
      <x:c r="P264" s="8" t="str">
        <x:v>Closed Won</x:v>
      </x:c>
    </x:row>
    <x:row r="265">
      <x:c r="A265" s="8" t="str">
        <x:v>ORD-2025264</x:v>
      </x:c>
      <x:c r="B265" s="9" t="n">
        <x:v>46004</x:v>
      </x:c>
      <x:c r="C265" s="8" t="str">
        <x:v>South</x:v>
      </x:c>
      <x:c r="D265" s="8" t="str">
        <x:v>Mia Johnson</x:v>
      </x:c>
      <x:c r="E265" s="8" t="str">
        <x:v>Southridge Co</x:v>
      </x:c>
      <x:c r="F265" s="8" t="str">
        <x:v>Services</x:v>
      </x:c>
      <x:c r="G265" s="8" t="str">
        <x:v>Implementation</x:v>
      </x:c>
      <x:c r="H265" s="10" t="n">
        <x:v>6</x:v>
      </x:c>
      <x:c r="I265" s="11" t="n">
        <x:v>2500</x:v>
      </x:c>
      <x:c r="J265" s="12" t="n">
        <x:v>0.1</x:v>
      </x:c>
      <x:c r="K265" s="11" t="n">
        <x:f>H265*I265*(1-J265)</x:f>
        <x:v>13500</x:v>
      </x:c>
      <x:c r="L265" s="11" t="n">
        <x:f>H265*(I265*0.62)</x:f>
        <x:v>9300</x:v>
      </x:c>
      <x:c r="M265" s="11" t="n">
        <x:f>K265-L265</x:f>
        <x:v>4200</x:v>
      </x:c>
      <x:c r="N265" s="8" t="str">
        <x:v>Direct</x:v>
      </x:c>
      <x:c r="O265" s="8" t="str">
        <x:v>Invoice</x:v>
      </x:c>
      <x:c r="P265" s="8" t="str">
        <x:v>Shipped</x:v>
      </x:c>
    </x:row>
    <x:row r="266">
      <x:c r="A266" s="8" t="str">
        <x:v>ORD-2025265</x:v>
      </x:c>
      <x:c r="B266" s="9" t="n">
        <x:v>45865</x:v>
      </x:c>
      <x:c r="C266" s="8" t="str">
        <x:v>South</x:v>
      </x:c>
      <x:c r="D266" s="8" t="str">
        <x:v>Noah Davis</x:v>
      </x:c>
      <x:c r="E266" s="8" t="str">
        <x:v>RedStone Group</x:v>
      </x:c>
      <x:c r="F266" s="8" t="str">
        <x:v>Accessories</x:v>
      </x:c>
      <x:c r="G266" s="8" t="str">
        <x:v>Keyboard Pro</x:v>
      </x:c>
      <x:c r="H266" s="10" t="n">
        <x:v>13</x:v>
      </x:c>
      <x:c r="I266" s="11" t="n">
        <x:v>95</x:v>
      </x:c>
      <x:c r="J266" s="12" t="n">
        <x:v>0</x:v>
      </x:c>
      <x:c r="K266" s="11" t="n">
        <x:f>H266*I266*(1-J266)</x:f>
        <x:v>1235</x:v>
      </x:c>
      <x:c r="L266" s="11" t="n">
        <x:f>H266*(I266*0.62)</x:f>
        <x:v>765.6999999999999</x:v>
      </x:c>
      <x:c r="M266" s="11" t="n">
        <x:f>K266-L266</x:f>
        <x:v>469.30000000000007</x:v>
      </x:c>
      <x:c r="N266" s="8" t="str">
        <x:v>Online</x:v>
      </x:c>
      <x:c r="O266" s="8" t="str">
        <x:v>Bank Transfer</x:v>
      </x:c>
      <x:c r="P266" s="8" t="str">
        <x:v>Closed Won</x:v>
      </x:c>
    </x:row>
    <x:row r="267">
      <x:c r="A267" s="8" t="str">
        <x:v>ORD-2025266</x:v>
      </x:c>
      <x:c r="B267" s="9" t="n">
        <x:v>45660</x:v>
      </x:c>
      <x:c r="C267" s="8" t="str">
        <x:v>South</x:v>
      </x:c>
      <x:c r="D267" s="8" t="str">
        <x:v>Mia Johnson</x:v>
      </x:c>
      <x:c r="E267" s="8" t="str">
        <x:v>Prime Group</x:v>
      </x:c>
      <x:c r="F267" s="8" t="str">
        <x:v>Accessories</x:v>
      </x:c>
      <x:c r="G267" s="8" t="str">
        <x:v>Headset</x:v>
      </x:c>
      <x:c r="H267" s="10" t="n">
        <x:v>25</x:v>
      </x:c>
      <x:c r="I267" s="11" t="n">
        <x:v>85</x:v>
      </x:c>
      <x:c r="J267" s="12" t="n">
        <x:v>0.15</x:v>
      </x:c>
      <x:c r="K267" s="11" t="n">
        <x:f>H267*I267*(1-J267)</x:f>
        <x:v>1806.25</x:v>
      </x:c>
      <x:c r="L267" s="11" t="n">
        <x:f>H267*(I267*0.62)</x:f>
        <x:v>1317.5</x:v>
      </x:c>
      <x:c r="M267" s="11" t="n">
        <x:f>K267-L267</x:f>
        <x:v>488.75</x:v>
      </x:c>
      <x:c r="N267" s="8" t="str">
        <x:v>Direct</x:v>
      </x:c>
      <x:c r="O267" s="8" t="str">
        <x:v>Credit Card</x:v>
      </x:c>
      <x:c r="P267" s="8" t="str">
        <x:v>Shipped</x:v>
      </x:c>
    </x:row>
    <x:row r="268">
      <x:c r="A268" s="8" t="str">
        <x:v>ORD-2025267</x:v>
      </x:c>
      <x:c r="B268" s="9" t="n">
        <x:v>45824</x:v>
      </x:c>
      <x:c r="C268" s="8" t="str">
        <x:v>South</x:v>
      </x:c>
      <x:c r="D268" s="8" t="str">
        <x:v>Olivia Wilson</x:v>
      </x:c>
      <x:c r="E268" s="8" t="str">
        <x:v>Pioneer Co</x:v>
      </x:c>
      <x:c r="F268" s="8" t="str">
        <x:v>Hardware</x:v>
      </x:c>
      <x:c r="G268" s="8" t="str">
        <x:v>Dock Station</x:v>
      </x:c>
      <x:c r="H268" s="10" t="n">
        <x:v>9</x:v>
      </x:c>
      <x:c r="I268" s="11" t="n">
        <x:v>180</x:v>
      </x:c>
      <x:c r="J268" s="12" t="n">
        <x:v>0.15</x:v>
      </x:c>
      <x:c r="K268" s="11" t="n">
        <x:f>H268*I268*(1-J268)</x:f>
        <x:v>1377</x:v>
      </x:c>
      <x:c r="L268" s="11" t="n">
        <x:f>H268*(I268*0.62)</x:f>
        <x:v>1004.4</x:v>
      </x:c>
      <x:c r="M268" s="11" t="n">
        <x:f>K268-L268</x:f>
        <x:v>372.6</x:v>
      </x:c>
      <x:c r="N268" s="8" t="str">
        <x:v>Partner</x:v>
      </x:c>
      <x:c r="O268" s="8" t="str">
        <x:v>Invoice</x:v>
      </x:c>
      <x:c r="P268" s="8" t="str">
        <x:v>Shipped</x:v>
      </x:c>
    </x:row>
    <x:row r="269">
      <x:c r="A269" s="8" t="str">
        <x:v>ORD-2025268</x:v>
      </x:c>
      <x:c r="B269" s="9" t="n">
        <x:v>45836</x:v>
      </x:c>
      <x:c r="C269" s="8" t="str">
        <x:v>East</x:v>
      </x:c>
      <x:c r="D269" s="8" t="str">
        <x:v>Olivia Wilson</x:v>
      </x:c>
      <x:c r="E269" s="8" t="str">
        <x:v>Nova Group</x:v>
      </x:c>
      <x:c r="F269" s="8" t="str">
        <x:v>Accessories</x:v>
      </x:c>
      <x:c r="G269" s="8" t="str">
        <x:v>Wireless Mouse</x:v>
      </x:c>
      <x:c r="H269" s="10" t="n">
        <x:v>6</x:v>
      </x:c>
      <x:c r="I269" s="11" t="n">
        <x:v>40</x:v>
      </x:c>
      <x:c r="J269" s="12" t="n">
        <x:v>0.2</x:v>
      </x:c>
      <x:c r="K269" s="11" t="n">
        <x:f>H269*I269*(1-J269)</x:f>
        <x:v>192</x:v>
      </x:c>
      <x:c r="L269" s="11" t="n">
        <x:f>H269*(I269*0.62)</x:f>
        <x:v>148.8</x:v>
      </x:c>
      <x:c r="M269" s="11" t="n">
        <x:f>K269-L269</x:f>
        <x:v>43.19999999999999</x:v>
      </x:c>
      <x:c r="N269" s="8" t="str">
        <x:v>Online</x:v>
      </x:c>
      <x:c r="O269" s="8" t="str">
        <x:v>Invoice</x:v>
      </x:c>
      <x:c r="P269" s="8" t="str">
        <x:v>Cancelled</x:v>
      </x:c>
    </x:row>
    <x:row r="270">
      <x:c r="A270" s="8" t="str">
        <x:v>ORD-2025269</x:v>
      </x:c>
      <x:c r="B270" s="9" t="n">
        <x:v>45818</x:v>
      </x:c>
      <x:c r="C270" s="8" t="str">
        <x:v>North</x:v>
      </x:c>
      <x:c r="D270" s="8" t="str">
        <x:v>Mia Johnson</x:v>
      </x:c>
      <x:c r="E270" s="8" t="str">
        <x:v>Vertex Group</x:v>
      </x:c>
      <x:c r="F270" s="8" t="str">
        <x:v>Software</x:v>
      </x:c>
      <x:c r="G270" s="8" t="str">
        <x:v>Analytics Cloud</x:v>
      </x:c>
      <x:c r="H270" s="10" t="n">
        <x:v>4</x:v>
      </x:c>
      <x:c r="I270" s="11" t="n">
        <x:v>1800</x:v>
      </x:c>
      <x:c r="J270" s="12" t="n">
        <x:v>0</x:v>
      </x:c>
      <x:c r="K270" s="11" t="n">
        <x:f>H270*I270*(1-J270)</x:f>
        <x:v>7200</x:v>
      </x:c>
      <x:c r="L270" s="11" t="n">
        <x:f>H270*(I270*0.62)</x:f>
        <x:v>4464</x:v>
      </x:c>
      <x:c r="M270" s="11" t="n">
        <x:f>K270-L270</x:f>
        <x:v>2736</x:v>
      </x:c>
      <x:c r="N270" s="8" t="str">
        <x:v>Partner</x:v>
      </x:c>
      <x:c r="O270" s="8" t="str">
        <x:v>Bank Transfer</x:v>
      </x:c>
      <x:c r="P270" s="8" t="str">
        <x:v>Pending</x:v>
      </x:c>
    </x:row>
    <x:row r="271">
      <x:c r="A271" s="8" t="str">
        <x:v>ORD-2025270</x:v>
      </x:c>
      <x:c r="B271" s="9" t="n">
        <x:v>45952</x:v>
      </x:c>
      <x:c r="C271" s="8" t="str">
        <x:v>West</x:v>
      </x:c>
      <x:c r="D271" s="8" t="str">
        <x:v>Lucas Brown</x:v>
      </x:c>
      <x:c r="E271" s="8" t="str">
        <x:v>GreenLeaf Group</x:v>
      </x:c>
      <x:c r="F271" s="8" t="str">
        <x:v>Accessories</x:v>
      </x:c>
      <x:c r="G271" s="8" t="str">
        <x:v>Keyboard Pro</x:v>
      </x:c>
      <x:c r="H271" s="10" t="n">
        <x:v>16</x:v>
      </x:c>
      <x:c r="I271" s="11" t="n">
        <x:v>95</x:v>
      </x:c>
      <x:c r="J271" s="12" t="n">
        <x:v>0.15</x:v>
      </x:c>
      <x:c r="K271" s="11" t="n">
        <x:f>H271*I271*(1-J271)</x:f>
        <x:v>1292</x:v>
      </x:c>
      <x:c r="L271" s="11" t="n">
        <x:f>H271*(I271*0.62)</x:f>
        <x:v>942.4</x:v>
      </x:c>
      <x:c r="M271" s="11" t="n">
        <x:f>K271-L271</x:f>
        <x:v>349.6</x:v>
      </x:c>
      <x:c r="N271" s="8" t="str">
        <x:v>Online</x:v>
      </x:c>
      <x:c r="O271" s="8" t="str">
        <x:v>Bank Transfer</x:v>
      </x:c>
      <x:c r="P271" s="8" t="str">
        <x:v>Shipped</x:v>
      </x:c>
    </x:row>
    <x:row r="272">
      <x:c r="A272" s="8" t="str">
        <x:v>ORD-2025271</x:v>
      </x:c>
      <x:c r="B272" s="9" t="n">
        <x:v>45729</x:v>
      </x:c>
      <x:c r="C272" s="8" t="str">
        <x:v>South</x:v>
      </x:c>
      <x:c r="D272" s="8" t="str">
        <x:v>Sophia Kim</x:v>
      </x:c>
      <x:c r="E272" s="8" t="str">
        <x:v>GoldenGate Inc</x:v>
      </x:c>
      <x:c r="F272" s="8" t="str">
        <x:v>Accessories</x:v>
      </x:c>
      <x:c r="G272" s="8" t="str">
        <x:v>Webcam HD</x:v>
      </x:c>
      <x:c r="H272" s="10" t="n">
        <x:v>20</x:v>
      </x:c>
      <x:c r="I272" s="11" t="n">
        <x:v>110</x:v>
      </x:c>
      <x:c r="J272" s="12" t="n">
        <x:v>0</x:v>
      </x:c>
      <x:c r="K272" s="11" t="n">
        <x:f>H272*I272*(1-J272)</x:f>
        <x:v>2200</x:v>
      </x:c>
      <x:c r="L272" s="11" t="n">
        <x:f>H272*(I272*0.62)</x:f>
        <x:v>1364</x:v>
      </x:c>
      <x:c r="M272" s="11" t="n">
        <x:f>K272-L272</x:f>
        <x:v>836</x:v>
      </x:c>
      <x:c r="N272" s="8" t="str">
        <x:v>Partner</x:v>
      </x:c>
      <x:c r="O272" s="8" t="str">
        <x:v>Credit Card</x:v>
      </x:c>
      <x:c r="P272" s="8" t="str">
        <x:v>Pending</x:v>
      </x:c>
    </x:row>
    <x:row r="273">
      <x:c r="A273" s="8" t="str">
        <x:v>ORD-2025272</x:v>
      </x:c>
      <x:c r="B273" s="9" t="n">
        <x:v>45945</x:v>
      </x:c>
      <x:c r="C273" s="8" t="str">
        <x:v>Central</x:v>
      </x:c>
      <x:c r="D273" s="8" t="str">
        <x:v>Olivia Wilson</x:v>
      </x:c>
      <x:c r="E273" s="8" t="str">
        <x:v>RedStone LLC</x:v>
      </x:c>
      <x:c r="F273" s="8" t="str">
        <x:v>Hardware</x:v>
      </x:c>
      <x:c r="G273" s="8" t="str">
        <x:v>Monitor 27</x:v>
      </x:c>
      <x:c r="H273" s="10" t="n">
        <x:v>22</x:v>
      </x:c>
      <x:c r="I273" s="11" t="n">
        <x:v>320</x:v>
      </x:c>
      <x:c r="J273" s="12" t="n">
        <x:v>0.05</x:v>
      </x:c>
      <x:c r="K273" s="11" t="n">
        <x:f>H273*I273*(1-J273)</x:f>
        <x:v>6688</x:v>
      </x:c>
      <x:c r="L273" s="11" t="n">
        <x:f>H273*(I273*0.62)</x:f>
        <x:v>4364.8</x:v>
      </x:c>
      <x:c r="M273" s="11" t="n">
        <x:f>K273-L273</x:f>
        <x:v>2323.2</x:v>
      </x:c>
      <x:c r="N273" s="8" t="str">
        <x:v>Partner</x:v>
      </x:c>
      <x:c r="O273" s="8" t="str">
        <x:v>PayPal</x:v>
      </x:c>
      <x:c r="P273" s="8" t="str">
        <x:v>Pending</x:v>
      </x:c>
    </x:row>
    <x:row r="274">
      <x:c r="A274" s="8" t="str">
        <x:v>ORD-2025273</x:v>
      </x:c>
      <x:c r="B274" s="9" t="n">
        <x:v>45770</x:v>
      </x:c>
      <x:c r="C274" s="8" t="str">
        <x:v>East</x:v>
      </x:c>
      <x:c r="D274" s="8" t="str">
        <x:v>Ava Patel</x:v>
      </x:c>
      <x:c r="E274" s="8" t="str">
        <x:v>Prime Group</x:v>
      </x:c>
      <x:c r="F274" s="8" t="str">
        <x:v>Software</x:v>
      </x:c>
      <x:c r="G274" s="8" t="str">
        <x:v>CRM Pro</x:v>
      </x:c>
      <x:c r="H274" s="10" t="n">
        <x:v>8</x:v>
      </x:c>
      <x:c r="I274" s="11" t="n">
        <x:v>1200</x:v>
      </x:c>
      <x:c r="J274" s="12" t="n">
        <x:v>0.1</x:v>
      </x:c>
      <x:c r="K274" s="11" t="n">
        <x:f>H274*I274*(1-J274)</x:f>
        <x:v>8640</x:v>
      </x:c>
      <x:c r="L274" s="11" t="n">
        <x:f>H274*(I274*0.62)</x:f>
        <x:v>5952</x:v>
      </x:c>
      <x:c r="M274" s="11" t="n">
        <x:f>K274-L274</x:f>
        <x:v>2688</x:v>
      </x:c>
      <x:c r="N274" s="8" t="str">
        <x:v>Partner</x:v>
      </x:c>
      <x:c r="O274" s="8" t="str">
        <x:v>Bank Transfer</x:v>
      </x:c>
      <x:c r="P274" s="8" t="str">
        <x:v>Shipped</x:v>
      </x:c>
    </x:row>
    <x:row r="275">
      <x:c r="A275" s="8" t="str">
        <x:v>ORD-2025274</x:v>
      </x:c>
      <x:c r="B275" s="9" t="n">
        <x:v>45951</x:v>
      </x:c>
      <x:c r="C275" s="8" t="str">
        <x:v>North</x:v>
      </x:c>
      <x:c r="D275" s="8" t="str">
        <x:v>Ethan Garcia</x:v>
      </x:c>
      <x:c r="E275" s="8" t="str">
        <x:v>Maple Inc</x:v>
      </x:c>
      <x:c r="F275" s="8" t="str">
        <x:v>Accessories</x:v>
      </x:c>
      <x:c r="G275" s="8" t="str">
        <x:v>Wireless Mouse</x:v>
      </x:c>
      <x:c r="H275" s="10" t="n">
        <x:v>12</x:v>
      </x:c>
      <x:c r="I275" s="11" t="n">
        <x:v>40</x:v>
      </x:c>
      <x:c r="J275" s="12" t="n">
        <x:v>0.1</x:v>
      </x:c>
      <x:c r="K275" s="11" t="n">
        <x:f>H275*I275*(1-J275)</x:f>
        <x:v>432</x:v>
      </x:c>
      <x:c r="L275" s="11" t="n">
        <x:f>H275*(I275*0.62)</x:f>
        <x:v>297.6</x:v>
      </x:c>
      <x:c r="M275" s="11" t="n">
        <x:f>K275-L275</x:f>
        <x:v>134.39999999999998</x:v>
      </x:c>
      <x:c r="N275" s="8" t="str">
        <x:v>Direct</x:v>
      </x:c>
      <x:c r="O275" s="8" t="str">
        <x:v>PayPal</x:v>
      </x:c>
      <x:c r="P275" s="8" t="str">
        <x:v>Pending</x:v>
      </x:c>
    </x:row>
    <x:row r="276">
      <x:c r="A276" s="8" t="str">
        <x:v>ORD-2025275</x:v>
      </x:c>
      <x:c r="B276" s="9" t="n">
        <x:v>45992</x:v>
      </x:c>
      <x:c r="C276" s="8" t="str">
        <x:v>South</x:v>
      </x:c>
      <x:c r="D276" s="8" t="str">
        <x:v>Ethan Garcia</x:v>
      </x:c>
      <x:c r="E276" s="8" t="str">
        <x:v>Summit LLC</x:v>
      </x:c>
      <x:c r="F276" s="8" t="str">
        <x:v>Accessories</x:v>
      </x:c>
      <x:c r="G276" s="8" t="str">
        <x:v>Wireless Mouse</x:v>
      </x:c>
      <x:c r="H276" s="10" t="n">
        <x:v>15</x:v>
      </x:c>
      <x:c r="I276" s="11" t="n">
        <x:v>40</x:v>
      </x:c>
      <x:c r="J276" s="12" t="n">
        <x:v>0</x:v>
      </x:c>
      <x:c r="K276" s="11" t="n">
        <x:f>H276*I276*(1-J276)</x:f>
        <x:v>600</x:v>
      </x:c>
      <x:c r="L276" s="11" t="n">
        <x:f>H276*(I276*0.62)</x:f>
        <x:v>372</x:v>
      </x:c>
      <x:c r="M276" s="11" t="n">
        <x:f>K276-L276</x:f>
        <x:v>228</x:v>
      </x:c>
      <x:c r="N276" s="8" t="str">
        <x:v>Partner</x:v>
      </x:c>
      <x:c r="O276" s="8" t="str">
        <x:v>Credit Card</x:v>
      </x:c>
      <x:c r="P276" s="8" t="str">
        <x:v>Closed Won</x:v>
      </x:c>
    </x:row>
    <x:row r="277">
      <x:c r="A277" s="8" t="str">
        <x:v>ORD-2025276</x:v>
      </x:c>
      <x:c r="B277" s="9" t="n">
        <x:v>45765</x:v>
      </x:c>
      <x:c r="C277" s="8" t="str">
        <x:v>Central</x:v>
      </x:c>
      <x:c r="D277" s="8" t="str">
        <x:v>Sophia Kim</x:v>
      </x:c>
      <x:c r="E277" s="8" t="str">
        <x:v>Nova Co</x:v>
      </x:c>
      <x:c r="F277" s="8" t="str">
        <x:v>Software</x:v>
      </x:c>
      <x:c r="G277" s="8" t="str">
        <x:v>Analytics Cloud</x:v>
      </x:c>
      <x:c r="H277" s="10" t="n">
        <x:v>21</x:v>
      </x:c>
      <x:c r="I277" s="11" t="n">
        <x:v>1800</x:v>
      </x:c>
      <x:c r="J277" s="12" t="n">
        <x:v>0.05</x:v>
      </x:c>
      <x:c r="K277" s="11" t="n">
        <x:f>H277*I277*(1-J277)</x:f>
        <x:v>35910</x:v>
      </x:c>
      <x:c r="L277" s="11" t="n">
        <x:f>H277*(I277*0.62)</x:f>
        <x:v>23436</x:v>
      </x:c>
      <x:c r="M277" s="11" t="n">
        <x:f>K277-L277</x:f>
        <x:v>12474</x:v>
      </x:c>
      <x:c r="N277" s="8" t="str">
        <x:v>Direct</x:v>
      </x:c>
      <x:c r="O277" s="8" t="str">
        <x:v>Bank Transfer</x:v>
      </x:c>
      <x:c r="P277" s="8" t="str">
        <x:v>Shipped</x:v>
      </x:c>
    </x:row>
    <x:row r="278">
      <x:c r="A278" s="8" t="str">
        <x:v>ORD-2025277</x:v>
      </x:c>
      <x:c r="B278" s="9" t="n">
        <x:v>45949</x:v>
      </x:c>
      <x:c r="C278" s="8" t="str">
        <x:v>East</x:v>
      </x:c>
      <x:c r="D278" s="8" t="str">
        <x:v>Mason Lee</x:v>
      </x:c>
      <x:c r="E278" s="8" t="str">
        <x:v>Prime Group</x:v>
      </x:c>
      <x:c r="F278" s="8" t="str">
        <x:v>Hardware</x:v>
      </x:c>
      <x:c r="G278" s="8" t="str">
        <x:v>Laptop X</x:v>
      </x:c>
      <x:c r="H278" s="10" t="n">
        <x:v>20</x:v>
      </x:c>
      <x:c r="I278" s="11" t="n">
        <x:v>1500</x:v>
      </x:c>
      <x:c r="J278" s="12" t="n">
        <x:v>0.1</x:v>
      </x:c>
      <x:c r="K278" s="11" t="n">
        <x:f>H278*I278*(1-J278)</x:f>
        <x:v>27000</x:v>
      </x:c>
      <x:c r="L278" s="11" t="n">
        <x:f>H278*(I278*0.62)</x:f>
        <x:v>18600</x:v>
      </x:c>
      <x:c r="M278" s="11" t="n">
        <x:f>K278-L278</x:f>
        <x:v>8400</x:v>
      </x:c>
      <x:c r="N278" s="8" t="str">
        <x:v>Direct</x:v>
      </x:c>
      <x:c r="O278" s="8" t="str">
        <x:v>Invoice</x:v>
      </x:c>
      <x:c r="P278" s="8" t="str">
        <x:v>Cancelled</x:v>
      </x:c>
    </x:row>
    <x:row r="279">
      <x:c r="A279" s="8" t="str">
        <x:v>ORD-2025278</x:v>
      </x:c>
      <x:c r="B279" s="9" t="n">
        <x:v>45951</x:v>
      </x:c>
      <x:c r="C279" s="8" t="str">
        <x:v>East</x:v>
      </x:c>
      <x:c r="D279" s="8" t="str">
        <x:v>Mason Lee</x:v>
      </x:c>
      <x:c r="E279" s="8" t="str">
        <x:v>Pioneer LLC</x:v>
      </x:c>
      <x:c r="F279" s="8" t="str">
        <x:v>Services</x:v>
      </x:c>
      <x:c r="G279" s="8" t="str">
        <x:v>Support Plus</x:v>
      </x:c>
      <x:c r="H279" s="10" t="n">
        <x:v>5</x:v>
      </x:c>
      <x:c r="I279" s="11" t="n">
        <x:v>650</x:v>
      </x:c>
      <x:c r="J279" s="12" t="n">
        <x:v>0.2</x:v>
      </x:c>
      <x:c r="K279" s="11" t="n">
        <x:f>H279*I279*(1-J279)</x:f>
        <x:v>2600</x:v>
      </x:c>
      <x:c r="L279" s="11" t="n">
        <x:f>H279*(I279*0.62)</x:f>
        <x:v>2015</x:v>
      </x:c>
      <x:c r="M279" s="11" t="n">
        <x:f>K279-L279</x:f>
        <x:v>585</x:v>
      </x:c>
      <x:c r="N279" s="8" t="str">
        <x:v>Partner</x:v>
      </x:c>
      <x:c r="O279" s="8" t="str">
        <x:v>Credit Card</x:v>
      </x:c>
      <x:c r="P279" s="8" t="str">
        <x:v>Cancelled</x:v>
      </x:c>
    </x:row>
    <x:row r="280">
      <x:c r="A280" s="8" t="str">
        <x:v>ORD-2025279</x:v>
      </x:c>
      <x:c r="B280" s="9" t="n">
        <x:v>45785</x:v>
      </x:c>
      <x:c r="C280" s="8" t="str">
        <x:v>South</x:v>
      </x:c>
      <x:c r="D280" s="8" t="str">
        <x:v>Sophia Kim</x:v>
      </x:c>
      <x:c r="E280" s="8" t="str">
        <x:v>Cedar Group</x:v>
      </x:c>
      <x:c r="F280" s="8" t="str">
        <x:v>Hardware</x:v>
      </x:c>
      <x:c r="G280" s="8" t="str">
        <x:v>Tablet Air</x:v>
      </x:c>
      <x:c r="H280" s="10" t="n">
        <x:v>25</x:v>
      </x:c>
      <x:c r="I280" s="11" t="n">
        <x:v>820</x:v>
      </x:c>
      <x:c r="J280" s="12" t="n">
        <x:v>0.2</x:v>
      </x:c>
      <x:c r="K280" s="11" t="n">
        <x:f>H280*I280*(1-J280)</x:f>
        <x:v>16400</x:v>
      </x:c>
      <x:c r="L280" s="11" t="n">
        <x:f>H280*(I280*0.62)</x:f>
        <x:v>12710</x:v>
      </x:c>
      <x:c r="M280" s="11" t="n">
        <x:f>K280-L280</x:f>
        <x:v>3690</x:v>
      </x:c>
      <x:c r="N280" s="8" t="str">
        <x:v>Online</x:v>
      </x:c>
      <x:c r="O280" s="8" t="str">
        <x:v>PayPal</x:v>
      </x:c>
      <x:c r="P280" s="8" t="str">
        <x:v>Pending</x:v>
      </x:c>
    </x:row>
    <x:row r="281">
      <x:c r="A281" s="8" t="str">
        <x:v>ORD-2025280</x:v>
      </x:c>
      <x:c r="B281" s="9" t="n">
        <x:v>45850</x:v>
      </x:c>
      <x:c r="C281" s="8" t="str">
        <x:v>West</x:v>
      </x:c>
      <x:c r="D281" s="8" t="str">
        <x:v>Liam Chen</x:v>
      </x:c>
      <x:c r="E281" s="8" t="str">
        <x:v>BlueSky Group</x:v>
      </x:c>
      <x:c r="F281" s="8" t="str">
        <x:v>Services</x:v>
      </x:c>
      <x:c r="G281" s="8" t="str">
        <x:v>Consulting Day</x:v>
      </x:c>
      <x:c r="H281" s="10" t="n">
        <x:v>13</x:v>
      </x:c>
      <x:c r="I281" s="11" t="n">
        <x:v>1400</x:v>
      </x:c>
      <x:c r="J281" s="12" t="n">
        <x:v>0.1</x:v>
      </x:c>
      <x:c r="K281" s="11" t="n">
        <x:f>H281*I281*(1-J281)</x:f>
        <x:v>16380</x:v>
      </x:c>
      <x:c r="L281" s="11" t="n">
        <x:f>H281*(I281*0.62)</x:f>
        <x:v>11284</x:v>
      </x:c>
      <x:c r="M281" s="11" t="n">
        <x:f>K281-L281</x:f>
        <x:v>5096</x:v>
      </x:c>
      <x:c r="N281" s="8" t="str">
        <x:v>Online</x:v>
      </x:c>
      <x:c r="O281" s="8" t="str">
        <x:v>Invoice</x:v>
      </x:c>
      <x:c r="P281" s="8" t="str">
        <x:v>Shipped</x:v>
      </x:c>
    </x:row>
    <x:row r="282">
      <x:c r="A282" s="8" t="str">
        <x:v>ORD-2025281</x:v>
      </x:c>
      <x:c r="B282" s="9" t="n">
        <x:v>45907</x:v>
      </x:c>
      <x:c r="C282" s="8" t="str">
        <x:v>East</x:v>
      </x:c>
      <x:c r="D282" s="8" t="str">
        <x:v>Emma Martin</x:v>
      </x:c>
      <x:c r="E282" s="8" t="str">
        <x:v>Acme LLC</x:v>
      </x:c>
      <x:c r="F282" s="8" t="str">
        <x:v>Services</x:v>
      </x:c>
      <x:c r="G282" s="8" t="str">
        <x:v>Consulting Day</x:v>
      </x:c>
      <x:c r="H282" s="10" t="n">
        <x:v>25</x:v>
      </x:c>
      <x:c r="I282" s="11" t="n">
        <x:v>1400</x:v>
      </x:c>
      <x:c r="J282" s="12" t="n">
        <x:v>0.2</x:v>
      </x:c>
      <x:c r="K282" s="11" t="n">
        <x:f>H282*I282*(1-J282)</x:f>
        <x:v>28000</x:v>
      </x:c>
      <x:c r="L282" s="11" t="n">
        <x:f>H282*(I282*0.62)</x:f>
        <x:v>21700</x:v>
      </x:c>
      <x:c r="M282" s="11" t="n">
        <x:f>K282-L282</x:f>
        <x:v>6300</x:v>
      </x:c>
      <x:c r="N282" s="8" t="str">
        <x:v>Online</x:v>
      </x:c>
      <x:c r="O282" s="8" t="str">
        <x:v>Credit Card</x:v>
      </x:c>
      <x:c r="P282" s="8" t="str">
        <x:v>Shipped</x:v>
      </x:c>
    </x:row>
    <x:row r="283">
      <x:c r="A283" s="8" t="str">
        <x:v>ORD-2025282</x:v>
      </x:c>
      <x:c r="B283" s="9" t="n">
        <x:v>45690</x:v>
      </x:c>
      <x:c r="C283" s="8" t="str">
        <x:v>Central</x:v>
      </x:c>
      <x:c r="D283" s="8" t="str">
        <x:v>Lucas Brown</x:v>
      </x:c>
      <x:c r="E283" s="8" t="str">
        <x:v>Nexus Group</x:v>
      </x:c>
      <x:c r="F283" s="8" t="str">
        <x:v>Accessories</x:v>
      </x:c>
      <x:c r="G283" s="8" t="str">
        <x:v>Webcam HD</x:v>
      </x:c>
      <x:c r="H283" s="10" t="n">
        <x:v>14</x:v>
      </x:c>
      <x:c r="I283" s="11" t="n">
        <x:v>110</x:v>
      </x:c>
      <x:c r="J283" s="12" t="n">
        <x:v>0.2</x:v>
      </x:c>
      <x:c r="K283" s="11" t="n">
        <x:f>H283*I283*(1-J283)</x:f>
        <x:v>1232</x:v>
      </x:c>
      <x:c r="L283" s="11" t="n">
        <x:f>H283*(I283*0.62)</x:f>
        <x:v>954.8000000000001</x:v>
      </x:c>
      <x:c r="M283" s="11" t="n">
        <x:f>K283-L283</x:f>
        <x:v>277.19999999999993</x:v>
      </x:c>
      <x:c r="N283" s="8" t="str">
        <x:v>Direct</x:v>
      </x:c>
      <x:c r="O283" s="8" t="str">
        <x:v>PayPal</x:v>
      </x:c>
      <x:c r="P283" s="8" t="str">
        <x:v>Closed Won</x:v>
      </x:c>
    </x:row>
    <x:row r="284">
      <x:c r="A284" s="8" t="str">
        <x:v>ORD-2025283</x:v>
      </x:c>
      <x:c r="B284" s="9" t="n">
        <x:v>45938</x:v>
      </x:c>
      <x:c r="C284" s="8" t="str">
        <x:v>Central</x:v>
      </x:c>
      <x:c r="D284" s="8" t="str">
        <x:v>Noah Davis</x:v>
      </x:c>
      <x:c r="E284" s="8" t="str">
        <x:v>Ironwood LLC</x:v>
      </x:c>
      <x:c r="F284" s="8" t="str">
        <x:v>Services</x:v>
      </x:c>
      <x:c r="G284" s="8" t="str">
        <x:v>Support Plus</x:v>
      </x:c>
      <x:c r="H284" s="10" t="n">
        <x:v>16</x:v>
      </x:c>
      <x:c r="I284" s="11" t="n">
        <x:v>650</x:v>
      </x:c>
      <x:c r="J284" s="12" t="n">
        <x:v>0.2</x:v>
      </x:c>
      <x:c r="K284" s="11" t="n">
        <x:f>H284*I284*(1-J284)</x:f>
        <x:v>8320</x:v>
      </x:c>
      <x:c r="L284" s="11" t="n">
        <x:f>H284*(I284*0.62)</x:f>
        <x:v>6448</x:v>
      </x:c>
      <x:c r="M284" s="11" t="n">
        <x:f>K284-L284</x:f>
        <x:v>1872</x:v>
      </x:c>
      <x:c r="N284" s="8" t="str">
        <x:v>Partner</x:v>
      </x:c>
      <x:c r="O284" s="8" t="str">
        <x:v>Credit Card</x:v>
      </x:c>
      <x:c r="P284" s="8" t="str">
        <x:v>Closed Won</x:v>
      </x:c>
    </x:row>
    <x:row r="285">
      <x:c r="A285" s="8" t="str">
        <x:v>ORD-2025284</x:v>
      </x:c>
      <x:c r="B285" s="9" t="n">
        <x:v>45721</x:v>
      </x:c>
      <x:c r="C285" s="8" t="str">
        <x:v>South</x:v>
      </x:c>
      <x:c r="D285" s="8" t="str">
        <x:v>Olivia Wilson</x:v>
      </x:c>
      <x:c r="E285" s="8" t="str">
        <x:v>GoldenGate Co</x:v>
      </x:c>
      <x:c r="F285" s="8" t="str">
        <x:v>Accessories</x:v>
      </x:c>
      <x:c r="G285" s="8" t="str">
        <x:v>Wireless Mouse</x:v>
      </x:c>
      <x:c r="H285" s="10" t="n">
        <x:v>1</x:v>
      </x:c>
      <x:c r="I285" s="11" t="n">
        <x:v>40</x:v>
      </x:c>
      <x:c r="J285" s="12" t="n">
        <x:v>0.05</x:v>
      </x:c>
      <x:c r="K285" s="11" t="n">
        <x:f>H285*I285*(1-J285)</x:f>
        <x:v>38</x:v>
      </x:c>
      <x:c r="L285" s="11" t="n">
        <x:f>H285*(I285*0.62)</x:f>
        <x:v>24.8</x:v>
      </x:c>
      <x:c r="M285" s="11" t="n">
        <x:f>K285-L285</x:f>
        <x:v>13.2</x:v>
      </x:c>
      <x:c r="N285" s="8" t="str">
        <x:v>Direct</x:v>
      </x:c>
      <x:c r="O285" s="8" t="str">
        <x:v>Bank Transfer</x:v>
      </x:c>
      <x:c r="P285" s="8" t="str">
        <x:v>Cancelled</x:v>
      </x:c>
    </x:row>
    <x:row r="286">
      <x:c r="A286" s="8" t="str">
        <x:v>ORD-2025285</x:v>
      </x:c>
      <x:c r="B286" s="9" t="n">
        <x:v>45798</x:v>
      </x:c>
      <x:c r="C286" s="8" t="str">
        <x:v>North</x:v>
      </x:c>
      <x:c r="D286" s="8" t="str">
        <x:v>Sophia Kim</x:v>
      </x:c>
      <x:c r="E286" s="8" t="str">
        <x:v>Prime LLC</x:v>
      </x:c>
      <x:c r="F286" s="8" t="str">
        <x:v>Services</x:v>
      </x:c>
      <x:c r="G286" s="8" t="str">
        <x:v>Training</x:v>
      </x:c>
      <x:c r="H286" s="10" t="n">
        <x:v>3</x:v>
      </x:c>
      <x:c r="I286" s="11" t="n">
        <x:v>900</x:v>
      </x:c>
      <x:c r="J286" s="12" t="n">
        <x:v>0</x:v>
      </x:c>
      <x:c r="K286" s="11" t="n">
        <x:f>H286*I286*(1-J286)</x:f>
        <x:v>2700</x:v>
      </x:c>
      <x:c r="L286" s="11" t="n">
        <x:f>H286*(I286*0.62)</x:f>
        <x:v>1674</x:v>
      </x:c>
      <x:c r="M286" s="11" t="n">
        <x:f>K286-L286</x:f>
        <x:v>1026</x:v>
      </x:c>
      <x:c r="N286" s="8" t="str">
        <x:v>Online</x:v>
      </x:c>
      <x:c r="O286" s="8" t="str">
        <x:v>Bank Transfer</x:v>
      </x:c>
      <x:c r="P286" s="8" t="str">
        <x:v>Closed Won</x:v>
      </x:c>
    </x:row>
    <x:row r="287">
      <x:c r="A287" s="8" t="str">
        <x:v>ORD-2025286</x:v>
      </x:c>
      <x:c r="B287" s="9" t="n">
        <x:v>45877</x:v>
      </x:c>
      <x:c r="C287" s="8" t="str">
        <x:v>North</x:v>
      </x:c>
      <x:c r="D287" s="8" t="str">
        <x:v>Liam Chen</x:v>
      </x:c>
      <x:c r="E287" s="8" t="str">
        <x:v>Acme LLC</x:v>
      </x:c>
      <x:c r="F287" s="8" t="str">
        <x:v>Services</x:v>
      </x:c>
      <x:c r="G287" s="8" t="str">
        <x:v>Training</x:v>
      </x:c>
      <x:c r="H287" s="10" t="n">
        <x:v>7</x:v>
      </x:c>
      <x:c r="I287" s="11" t="n">
        <x:v>900</x:v>
      </x:c>
      <x:c r="J287" s="12" t="n">
        <x:v>0.05</x:v>
      </x:c>
      <x:c r="K287" s="11" t="n">
        <x:f>H287*I287*(1-J287)</x:f>
        <x:v>5985</x:v>
      </x:c>
      <x:c r="L287" s="11" t="n">
        <x:f>H287*(I287*0.62)</x:f>
        <x:v>3906</x:v>
      </x:c>
      <x:c r="M287" s="11" t="n">
        <x:f>K287-L287</x:f>
        <x:v>2079</x:v>
      </x:c>
      <x:c r="N287" s="8" t="str">
        <x:v>Direct</x:v>
      </x:c>
      <x:c r="O287" s="8" t="str">
        <x:v>Bank Transfer</x:v>
      </x:c>
      <x:c r="P287" s="8" t="str">
        <x:v>Shipped</x:v>
      </x:c>
    </x:row>
    <x:row r="288">
      <x:c r="A288" s="8" t="str">
        <x:v>ORD-2025287</x:v>
      </x:c>
      <x:c r="B288" s="9" t="n">
        <x:v>45662</x:v>
      </x:c>
      <x:c r="C288" s="8" t="str">
        <x:v>East</x:v>
      </x:c>
      <x:c r="D288" s="8" t="str">
        <x:v>Liam Chen</x:v>
      </x:c>
      <x:c r="E288" s="8" t="str">
        <x:v>RedStone Co</x:v>
      </x:c>
      <x:c r="F288" s="8" t="str">
        <x:v>Accessories</x:v>
      </x:c>
      <x:c r="G288" s="8" t="str">
        <x:v>Wireless Mouse</x:v>
      </x:c>
      <x:c r="H288" s="10" t="n">
        <x:v>23</x:v>
      </x:c>
      <x:c r="I288" s="11" t="n">
        <x:v>40</x:v>
      </x:c>
      <x:c r="J288" s="12" t="n">
        <x:v>0</x:v>
      </x:c>
      <x:c r="K288" s="11" t="n">
        <x:f>H288*I288*(1-J288)</x:f>
        <x:v>920</x:v>
      </x:c>
      <x:c r="L288" s="11" t="n">
        <x:f>H288*(I288*0.62)</x:f>
        <x:v>570.4</x:v>
      </x:c>
      <x:c r="M288" s="11" t="n">
        <x:f>K288-L288</x:f>
        <x:v>349.6</x:v>
      </x:c>
      <x:c r="N288" s="8" t="str">
        <x:v>Partner</x:v>
      </x:c>
      <x:c r="O288" s="8" t="str">
        <x:v>Credit Card</x:v>
      </x:c>
      <x:c r="P288" s="8" t="str">
        <x:v>Closed Won</x:v>
      </x:c>
    </x:row>
    <x:row r="289">
      <x:c r="A289" s="8" t="str">
        <x:v>ORD-2025288</x:v>
      </x:c>
      <x:c r="B289" s="9" t="n">
        <x:v>45710</x:v>
      </x:c>
      <x:c r="C289" s="8" t="str">
        <x:v>East</x:v>
      </x:c>
      <x:c r="D289" s="8" t="str">
        <x:v>Sophia Kim</x:v>
      </x:c>
      <x:c r="E289" s="8" t="str">
        <x:v>Vertex Co</x:v>
      </x:c>
      <x:c r="F289" s="8" t="str">
        <x:v>Software</x:v>
      </x:c>
      <x:c r="G289" s="8" t="str">
        <x:v>CRM Pro</x:v>
      </x:c>
      <x:c r="H289" s="10" t="n">
        <x:v>5</x:v>
      </x:c>
      <x:c r="I289" s="11" t="n">
        <x:v>1200</x:v>
      </x:c>
      <x:c r="J289" s="12" t="n">
        <x:v>0.05</x:v>
      </x:c>
      <x:c r="K289" s="11" t="n">
        <x:f>H289*I289*(1-J289)</x:f>
        <x:v>5700</x:v>
      </x:c>
      <x:c r="L289" s="11" t="n">
        <x:f>H289*(I289*0.62)</x:f>
        <x:v>3720</x:v>
      </x:c>
      <x:c r="M289" s="11" t="n">
        <x:f>K289-L289</x:f>
        <x:v>1980</x:v>
      </x:c>
      <x:c r="N289" s="8" t="str">
        <x:v>Direct</x:v>
      </x:c>
      <x:c r="O289" s="8" t="str">
        <x:v>Bank Transfer</x:v>
      </x:c>
      <x:c r="P289" s="8" t="str">
        <x:v>Closed Won</x:v>
      </x:c>
    </x:row>
    <x:row r="290">
      <x:c r="A290" s="8" t="str">
        <x:v>ORD-2025289</x:v>
      </x:c>
      <x:c r="B290" s="9" t="n">
        <x:v>45883</x:v>
      </x:c>
      <x:c r="C290" s="8" t="str">
        <x:v>East</x:v>
      </x:c>
      <x:c r="D290" s="8" t="str">
        <x:v>Mia Johnson</x:v>
      </x:c>
      <x:c r="E290" s="8" t="str">
        <x:v>Urban Group</x:v>
      </x:c>
      <x:c r="F290" s="8" t="str">
        <x:v>Software</x:v>
      </x:c>
      <x:c r="G290" s="8" t="str">
        <x:v>Analytics Cloud</x:v>
      </x:c>
      <x:c r="H290" s="10" t="n">
        <x:v>14</x:v>
      </x:c>
      <x:c r="I290" s="11" t="n">
        <x:v>1800</x:v>
      </x:c>
      <x:c r="J290" s="12" t="n">
        <x:v>0.1</x:v>
      </x:c>
      <x:c r="K290" s="11" t="n">
        <x:f>H290*I290*(1-J290)</x:f>
        <x:v>22680</x:v>
      </x:c>
      <x:c r="L290" s="11" t="n">
        <x:f>H290*(I290*0.62)</x:f>
        <x:v>15624</x:v>
      </x:c>
      <x:c r="M290" s="11" t="n">
        <x:f>K290-L290</x:f>
        <x:v>7056</x:v>
      </x:c>
      <x:c r="N290" s="8" t="str">
        <x:v>Online</x:v>
      </x:c>
      <x:c r="O290" s="8" t="str">
        <x:v>PayPal</x:v>
      </x:c>
      <x:c r="P290" s="8" t="str">
        <x:v>Returned</x:v>
      </x:c>
    </x:row>
    <x:row r="291">
      <x:c r="A291" s="8" t="str">
        <x:v>ORD-2025290</x:v>
      </x:c>
      <x:c r="B291" s="9" t="n">
        <x:v>45729</x:v>
      </x:c>
      <x:c r="C291" s="8" t="str">
        <x:v>North</x:v>
      </x:c>
      <x:c r="D291" s="8" t="str">
        <x:v>Emma Martin</x:v>
      </x:c>
      <x:c r="E291" s="8" t="str">
        <x:v>SilverLine Inc</x:v>
      </x:c>
      <x:c r="F291" s="8" t="str">
        <x:v>Software</x:v>
      </x:c>
      <x:c r="G291" s="8" t="str">
        <x:v>CRM Pro</x:v>
      </x:c>
      <x:c r="H291" s="10" t="n">
        <x:v>12</x:v>
      </x:c>
      <x:c r="I291" s="11" t="n">
        <x:v>1200</x:v>
      </x:c>
      <x:c r="J291" s="12" t="n">
        <x:v>0.05</x:v>
      </x:c>
      <x:c r="K291" s="11" t="n">
        <x:f>H291*I291*(1-J291)</x:f>
        <x:v>13680</x:v>
      </x:c>
      <x:c r="L291" s="11" t="n">
        <x:f>H291*(I291*0.62)</x:f>
        <x:v>8928</x:v>
      </x:c>
      <x:c r="M291" s="11" t="n">
        <x:f>K291-L291</x:f>
        <x:v>4752</x:v>
      </x:c>
      <x:c r="N291" s="8" t="str">
        <x:v>Partner</x:v>
      </x:c>
      <x:c r="O291" s="8" t="str">
        <x:v>Bank Transfer</x:v>
      </x:c>
      <x:c r="P291" s="8" t="str">
        <x:v>Closed Won</x:v>
      </x:c>
    </x:row>
    <x:row r="292">
      <x:c r="A292" s="8" t="str">
        <x:v>ORD-2025291</x:v>
      </x:c>
      <x:c r="B292" s="9" t="n">
        <x:v>45941</x:v>
      </x:c>
      <x:c r="C292" s="8" t="str">
        <x:v>Central</x:v>
      </x:c>
      <x:c r="D292" s="8" t="str">
        <x:v>Emma Martin</x:v>
      </x:c>
      <x:c r="E292" s="8" t="str">
        <x:v>Nova Inc</x:v>
      </x:c>
      <x:c r="F292" s="8" t="str">
        <x:v>Software</x:v>
      </x:c>
      <x:c r="G292" s="8" t="str">
        <x:v>Analytics Cloud</x:v>
      </x:c>
      <x:c r="H292" s="10" t="n">
        <x:v>10</x:v>
      </x:c>
      <x:c r="I292" s="11" t="n">
        <x:v>1800</x:v>
      </x:c>
      <x:c r="J292" s="12" t="n">
        <x:v>0.2</x:v>
      </x:c>
      <x:c r="K292" s="11" t="n">
        <x:f>H292*I292*(1-J292)</x:f>
        <x:v>14400</x:v>
      </x:c>
      <x:c r="L292" s="11" t="n">
        <x:f>H292*(I292*0.62)</x:f>
        <x:v>11160</x:v>
      </x:c>
      <x:c r="M292" s="11" t="n">
        <x:f>K292-L292</x:f>
        <x:v>3240</x:v>
      </x:c>
      <x:c r="N292" s="8" t="str">
        <x:v>Online</x:v>
      </x:c>
      <x:c r="O292" s="8" t="str">
        <x:v>Credit Card</x:v>
      </x:c>
      <x:c r="P292" s="8" t="str">
        <x:v>Returned</x:v>
      </x:c>
    </x:row>
    <x:row r="293">
      <x:c r="A293" s="8" t="str">
        <x:v>ORD-2025292</x:v>
      </x:c>
      <x:c r="B293" s="9" t="n">
        <x:v>45923</x:v>
      </x:c>
      <x:c r="C293" s="8" t="str">
        <x:v>Central</x:v>
      </x:c>
      <x:c r="D293" s="8" t="str">
        <x:v>Mason Lee</x:v>
      </x:c>
      <x:c r="E293" s="8" t="str">
        <x:v>Nexus LLC</x:v>
      </x:c>
      <x:c r="F293" s="8" t="str">
        <x:v>Services</x:v>
      </x:c>
      <x:c r="G293" s="8" t="str">
        <x:v>Training</x:v>
      </x:c>
      <x:c r="H293" s="10" t="n">
        <x:v>24</x:v>
      </x:c>
      <x:c r="I293" s="11" t="n">
        <x:v>900</x:v>
      </x:c>
      <x:c r="J293" s="12" t="n">
        <x:v>0.05</x:v>
      </x:c>
      <x:c r="K293" s="11" t="n">
        <x:f>H293*I293*(1-J293)</x:f>
        <x:v>20520</x:v>
      </x:c>
      <x:c r="L293" s="11" t="n">
        <x:f>H293*(I293*0.62)</x:f>
        <x:v>13392</x:v>
      </x:c>
      <x:c r="M293" s="11" t="n">
        <x:f>K293-L293</x:f>
        <x:v>7128</x:v>
      </x:c>
      <x:c r="N293" s="8" t="str">
        <x:v>Partner</x:v>
      </x:c>
      <x:c r="O293" s="8" t="str">
        <x:v>Credit Card</x:v>
      </x:c>
      <x:c r="P293" s="8" t="str">
        <x:v>Shipped</x:v>
      </x:c>
    </x:row>
    <x:row r="294">
      <x:c r="A294" s="8" t="str">
        <x:v>ORD-2025293</x:v>
      </x:c>
      <x:c r="B294" s="9" t="n">
        <x:v>45855</x:v>
      </x:c>
      <x:c r="C294" s="8" t="str">
        <x:v>North</x:v>
      </x:c>
      <x:c r="D294" s="8" t="str">
        <x:v>Mia Johnson</x:v>
      </x:c>
      <x:c r="E294" s="8" t="str">
        <x:v>NorthStar Group</x:v>
      </x:c>
      <x:c r="F294" s="8" t="str">
        <x:v>Hardware</x:v>
      </x:c>
      <x:c r="G294" s="8" t="str">
        <x:v>Monitor 27</x:v>
      </x:c>
      <x:c r="H294" s="10" t="n">
        <x:v>21</x:v>
      </x:c>
      <x:c r="I294" s="11" t="n">
        <x:v>320</x:v>
      </x:c>
      <x:c r="J294" s="12" t="n">
        <x:v>0.1</x:v>
      </x:c>
      <x:c r="K294" s="11" t="n">
        <x:f>H294*I294*(1-J294)</x:f>
        <x:v>6048</x:v>
      </x:c>
      <x:c r="L294" s="11" t="n">
        <x:f>H294*(I294*0.62)</x:f>
        <x:v>4166.400000000001</x:v>
      </x:c>
      <x:c r="M294" s="11" t="n">
        <x:f>K294-L294</x:f>
        <x:v>1881.5999999999995</x:v>
      </x:c>
      <x:c r="N294" s="8" t="str">
        <x:v>Direct</x:v>
      </x:c>
      <x:c r="O294" s="8" t="str">
        <x:v>Credit Card</x:v>
      </x:c>
      <x:c r="P294" s="8" t="str">
        <x:v>Cancelled</x:v>
      </x:c>
    </x:row>
    <x:row r="295">
      <x:c r="A295" s="8" t="str">
        <x:v>ORD-2025294</x:v>
      </x:c>
      <x:c r="B295" s="9" t="n">
        <x:v>45856</x:v>
      </x:c>
      <x:c r="C295" s="8" t="str">
        <x:v>Central</x:v>
      </x:c>
      <x:c r="D295" s="8" t="str">
        <x:v>Lucas Brown</x:v>
      </x:c>
      <x:c r="E295" s="8" t="str">
        <x:v>Harbor Co</x:v>
      </x:c>
      <x:c r="F295" s="8" t="str">
        <x:v>Services</x:v>
      </x:c>
      <x:c r="G295" s="8" t="str">
        <x:v>Training</x:v>
      </x:c>
      <x:c r="H295" s="10" t="n">
        <x:v>18</x:v>
      </x:c>
      <x:c r="I295" s="11" t="n">
        <x:v>900</x:v>
      </x:c>
      <x:c r="J295" s="12" t="n">
        <x:v>0.15</x:v>
      </x:c>
      <x:c r="K295" s="11" t="n">
        <x:f>H295*I295*(1-J295)</x:f>
        <x:v>13770</x:v>
      </x:c>
      <x:c r="L295" s="11" t="n">
        <x:f>H295*(I295*0.62)</x:f>
        <x:v>10044</x:v>
      </x:c>
      <x:c r="M295" s="11" t="n">
        <x:f>K295-L295</x:f>
        <x:v>3726</x:v>
      </x:c>
      <x:c r="N295" s="8" t="str">
        <x:v>Direct</x:v>
      </x:c>
      <x:c r="O295" s="8" t="str">
        <x:v>PayPal</x:v>
      </x:c>
      <x:c r="P295" s="8" t="str">
        <x:v>Cancelled</x:v>
      </x:c>
    </x:row>
    <x:row r="296">
      <x:c r="A296" s="8" t="str">
        <x:v>ORD-2025295</x:v>
      </x:c>
      <x:c r="B296" s="9" t="n">
        <x:v>45958</x:v>
      </x:c>
      <x:c r="C296" s="8" t="str">
        <x:v>North</x:v>
      </x:c>
      <x:c r="D296" s="8" t="str">
        <x:v>Ava Patel</x:v>
      </x:c>
      <x:c r="E296" s="8" t="str">
        <x:v>Prime Inc</x:v>
      </x:c>
      <x:c r="F296" s="8" t="str">
        <x:v>Software</x:v>
      </x:c>
      <x:c r="G296" s="8" t="str">
        <x:v>CRM Pro</x:v>
      </x:c>
      <x:c r="H296" s="10" t="n">
        <x:v>7</x:v>
      </x:c>
      <x:c r="I296" s="11" t="n">
        <x:v>1200</x:v>
      </x:c>
      <x:c r="J296" s="12" t="n">
        <x:v>0</x:v>
      </x:c>
      <x:c r="K296" s="11" t="n">
        <x:f>H296*I296*(1-J296)</x:f>
        <x:v>8400</x:v>
      </x:c>
      <x:c r="L296" s="11" t="n">
        <x:f>H296*(I296*0.62)</x:f>
        <x:v>5208</x:v>
      </x:c>
      <x:c r="M296" s="11" t="n">
        <x:f>K296-L296</x:f>
        <x:v>3192</x:v>
      </x:c>
      <x:c r="N296" s="8" t="str">
        <x:v>Direct</x:v>
      </x:c>
      <x:c r="O296" s="8" t="str">
        <x:v>PayPal</x:v>
      </x:c>
      <x:c r="P296" s="8" t="str">
        <x:v>Pending</x:v>
      </x:c>
    </x:row>
    <x:row r="297">
      <x:c r="A297" s="8" t="str">
        <x:v>ORD-2025296</x:v>
      </x:c>
      <x:c r="B297" s="9" t="n">
        <x:v>46017</x:v>
      </x:c>
      <x:c r="C297" s="8" t="str">
        <x:v>West</x:v>
      </x:c>
      <x:c r="D297" s="8" t="str">
        <x:v>Liam Chen</x:v>
      </x:c>
      <x:c r="E297" s="8" t="str">
        <x:v>Maple LLC</x:v>
      </x:c>
      <x:c r="F297" s="8" t="str">
        <x:v>Accessories</x:v>
      </x:c>
      <x:c r="G297" s="8" t="str">
        <x:v>Headset</x:v>
      </x:c>
      <x:c r="H297" s="10" t="n">
        <x:v>18</x:v>
      </x:c>
      <x:c r="I297" s="11" t="n">
        <x:v>85</x:v>
      </x:c>
      <x:c r="J297" s="12" t="n">
        <x:v>0.1</x:v>
      </x:c>
      <x:c r="K297" s="11" t="n">
        <x:f>H297*I297*(1-J297)</x:f>
        <x:v>1377</x:v>
      </x:c>
      <x:c r="L297" s="11" t="n">
        <x:f>H297*(I297*0.62)</x:f>
        <x:v>948.6</x:v>
      </x:c>
      <x:c r="M297" s="11" t="n">
        <x:f>K297-L297</x:f>
        <x:v>428.4</x:v>
      </x:c>
      <x:c r="N297" s="8" t="str">
        <x:v>Direct</x:v>
      </x:c>
      <x:c r="O297" s="8" t="str">
        <x:v>Invoice</x:v>
      </x:c>
      <x:c r="P297" s="8" t="str">
        <x:v>Closed Won</x:v>
      </x:c>
    </x:row>
    <x:row r="298">
      <x:c r="A298" s="8" t="str">
        <x:v>ORD-2025297</x:v>
      </x:c>
      <x:c r="B298" s="9" t="n">
        <x:v>45737</x:v>
      </x:c>
      <x:c r="C298" s="8" t="str">
        <x:v>Central</x:v>
      </x:c>
      <x:c r="D298" s="8" t="str">
        <x:v>Sophia Kim</x:v>
      </x:c>
      <x:c r="E298" s="8" t="str">
        <x:v>SilverLine Co</x:v>
      </x:c>
      <x:c r="F298" s="8" t="str">
        <x:v>Software</x:v>
      </x:c>
      <x:c r="G298" s="8" t="str">
        <x:v>Analytics Cloud</x:v>
      </x:c>
      <x:c r="H298" s="10" t="n">
        <x:v>19</x:v>
      </x:c>
      <x:c r="I298" s="11" t="n">
        <x:v>1800</x:v>
      </x:c>
      <x:c r="J298" s="12" t="n">
        <x:v>0.15</x:v>
      </x:c>
      <x:c r="K298" s="11" t="n">
        <x:f>H298*I298*(1-J298)</x:f>
        <x:v>29070</x:v>
      </x:c>
      <x:c r="L298" s="11" t="n">
        <x:f>H298*(I298*0.62)</x:f>
        <x:v>21204</x:v>
      </x:c>
      <x:c r="M298" s="11" t="n">
        <x:f>K298-L298</x:f>
        <x:v>7866</x:v>
      </x:c>
      <x:c r="N298" s="8" t="str">
        <x:v>Online</x:v>
      </x:c>
      <x:c r="O298" s="8" t="str">
        <x:v>Credit Card</x:v>
      </x:c>
      <x:c r="P298" s="8" t="str">
        <x:v>Closed Won</x:v>
      </x:c>
    </x:row>
    <x:row r="299">
      <x:c r="A299" s="8" t="str">
        <x:v>ORD-2025298</x:v>
      </x:c>
      <x:c r="B299" s="9" t="n">
        <x:v>45687</x:v>
      </x:c>
      <x:c r="C299" s="8" t="str">
        <x:v>South</x:v>
      </x:c>
      <x:c r="D299" s="8" t="str">
        <x:v>Liam Chen</x:v>
      </x:c>
      <x:c r="E299" s="8" t="str">
        <x:v>RedStone Group</x:v>
      </x:c>
      <x:c r="F299" s="8" t="str">
        <x:v>Accessories</x:v>
      </x:c>
      <x:c r="G299" s="8" t="str">
        <x:v>Keyboard Pro</x:v>
      </x:c>
      <x:c r="H299" s="10" t="n">
        <x:v>4</x:v>
      </x:c>
      <x:c r="I299" s="11" t="n">
        <x:v>95</x:v>
      </x:c>
      <x:c r="J299" s="12" t="n">
        <x:v>0.05</x:v>
      </x:c>
      <x:c r="K299" s="11" t="n">
        <x:f>H299*I299*(1-J299)</x:f>
        <x:v>361</x:v>
      </x:c>
      <x:c r="L299" s="11" t="n">
        <x:f>H299*(I299*0.62)</x:f>
        <x:v>235.6</x:v>
      </x:c>
      <x:c r="M299" s="11" t="n">
        <x:f>K299-L299</x:f>
        <x:v>125.4</x:v>
      </x:c>
      <x:c r="N299" s="8" t="str">
        <x:v>Online</x:v>
      </x:c>
      <x:c r="O299" s="8" t="str">
        <x:v>Credit Card</x:v>
      </x:c>
      <x:c r="P299" s="8" t="str">
        <x:v>Closed Won</x:v>
      </x:c>
    </x:row>
    <x:row r="300">
      <x:c r="A300" s="8" t="str">
        <x:v>ORD-2025299</x:v>
      </x:c>
      <x:c r="B300" s="9" t="n">
        <x:v>45664</x:v>
      </x:c>
      <x:c r="C300" s="8" t="str">
        <x:v>South</x:v>
      </x:c>
      <x:c r="D300" s="8" t="str">
        <x:v>Ava Patel</x:v>
      </x:c>
      <x:c r="E300" s="8" t="str">
        <x:v>GreenLeaf LLC</x:v>
      </x:c>
      <x:c r="F300" s="8" t="str">
        <x:v>Hardware</x:v>
      </x:c>
      <x:c r="G300" s="8" t="str">
        <x:v>Laptop X</x:v>
      </x:c>
      <x:c r="H300" s="10" t="n">
        <x:v>16</x:v>
      </x:c>
      <x:c r="I300" s="11" t="n">
        <x:v>1500</x:v>
      </x:c>
      <x:c r="J300" s="12" t="n">
        <x:v>0</x:v>
      </x:c>
      <x:c r="K300" s="11" t="n">
        <x:f>H300*I300*(1-J300)</x:f>
        <x:v>24000</x:v>
      </x:c>
      <x:c r="L300" s="11" t="n">
        <x:f>H300*(I300*0.62)</x:f>
        <x:v>14880</x:v>
      </x:c>
      <x:c r="M300" s="11" t="n">
        <x:f>K300-L300</x:f>
        <x:v>9120</x:v>
      </x:c>
      <x:c r="N300" s="8" t="str">
        <x:v>Online</x:v>
      </x:c>
      <x:c r="O300" s="8" t="str">
        <x:v>Invoice</x:v>
      </x:c>
      <x:c r="P300" s="8" t="str">
        <x:v>Closed Won</x:v>
      </x:c>
    </x:row>
    <x:row r="301">
      <x:c r="A301" s="8" t="str">
        <x:v>ORD-2025300</x:v>
      </x:c>
      <x:c r="B301" s="9" t="n">
        <x:v>45718</x:v>
      </x:c>
      <x:c r="C301" s="8" t="str">
        <x:v>North</x:v>
      </x:c>
      <x:c r="D301" s="8" t="str">
        <x:v>Sophia Kim</x:v>
      </x:c>
      <x:c r="E301" s="8" t="str">
        <x:v>RedStone Co</x:v>
      </x:c>
      <x:c r="F301" s="8" t="str">
        <x:v>Hardware</x:v>
      </x:c>
      <x:c r="G301" s="8" t="str">
        <x:v>Dock Station</x:v>
      </x:c>
      <x:c r="H301" s="10" t="n">
        <x:v>9</x:v>
      </x:c>
      <x:c r="I301" s="11" t="n">
        <x:v>180</x:v>
      </x:c>
      <x:c r="J301" s="12" t="n">
        <x:v>0.1</x:v>
      </x:c>
      <x:c r="K301" s="11" t="n">
        <x:f>H301*I301*(1-J301)</x:f>
        <x:v>1458</x:v>
      </x:c>
      <x:c r="L301" s="11" t="n">
        <x:f>H301*(I301*0.62)</x:f>
        <x:v>1004.4</x:v>
      </x:c>
      <x:c r="M301" s="11" t="n">
        <x:f>K301-L301</x:f>
        <x:v>453.6</x:v>
      </x:c>
      <x:c r="N301" s="8" t="str">
        <x:v>Direct</x:v>
      </x:c>
      <x:c r="O301" s="8" t="str">
        <x:v>Invoice</x:v>
      </x:c>
      <x:c r="P301" s="8" t="str">
        <x:v>Shipped</x:v>
      </x:c>
    </x:row>
    <x:row r="302">
      <x:c r="A302" s="8" t="str">
        <x:v>ORD-2025301</x:v>
      </x:c>
      <x:c r="B302" s="9" t="n">
        <x:v>45891</x:v>
      </x:c>
      <x:c r="C302" s="8" t="str">
        <x:v>Central</x:v>
      </x:c>
      <x:c r="D302" s="8" t="str">
        <x:v>Sophia Kim</x:v>
      </x:c>
      <x:c r="E302" s="8" t="str">
        <x:v>Summit Group</x:v>
      </x:c>
      <x:c r="F302" s="8" t="str">
        <x:v>Software</x:v>
      </x:c>
      <x:c r="G302" s="8" t="str">
        <x:v>ProjectFlow</x:v>
      </x:c>
      <x:c r="H302" s="10" t="n">
        <x:v>16</x:v>
      </x:c>
      <x:c r="I302" s="11" t="n">
        <x:v>700</x:v>
      </x:c>
      <x:c r="J302" s="12" t="n">
        <x:v>0.2</x:v>
      </x:c>
      <x:c r="K302" s="11" t="n">
        <x:f>H302*I302*(1-J302)</x:f>
        <x:v>8960</x:v>
      </x:c>
      <x:c r="L302" s="11" t="n">
        <x:f>H302*(I302*0.62)</x:f>
        <x:v>6944</x:v>
      </x:c>
      <x:c r="M302" s="11" t="n">
        <x:f>K302-L302</x:f>
        <x:v>2016</x:v>
      </x:c>
      <x:c r="N302" s="8" t="str">
        <x:v>Online</x:v>
      </x:c>
      <x:c r="O302" s="8" t="str">
        <x:v>Bank Transfer</x:v>
      </x:c>
      <x:c r="P302" s="8" t="str">
        <x:v>Closed Won</x:v>
      </x:c>
    </x:row>
    <x:row r="303">
      <x:c r="A303" s="8" t="str">
        <x:v>ORD-2025302</x:v>
      </x:c>
      <x:c r="B303" s="9" t="n">
        <x:v>45951</x:v>
      </x:c>
      <x:c r="C303" s="8" t="str">
        <x:v>North</x:v>
      </x:c>
      <x:c r="D303" s="8" t="str">
        <x:v>Mia Johnson</x:v>
      </x:c>
      <x:c r="E303" s="8" t="str">
        <x:v>Southridge Inc</x:v>
      </x:c>
      <x:c r="F303" s="8" t="str">
        <x:v>Services</x:v>
      </x:c>
      <x:c r="G303" s="8" t="str">
        <x:v>Implementation</x:v>
      </x:c>
      <x:c r="H303" s="10" t="n">
        <x:v>1</x:v>
      </x:c>
      <x:c r="I303" s="11" t="n">
        <x:v>2500</x:v>
      </x:c>
      <x:c r="J303" s="12" t="n">
        <x:v>0</x:v>
      </x:c>
      <x:c r="K303" s="11" t="n">
        <x:f>H303*I303*(1-J303)</x:f>
        <x:v>2500</x:v>
      </x:c>
      <x:c r="L303" s="11" t="n">
        <x:f>H303*(I303*0.62)</x:f>
        <x:v>1550</x:v>
      </x:c>
      <x:c r="M303" s="11" t="n">
        <x:f>K303-L303</x:f>
        <x:v>950</x:v>
      </x:c>
      <x:c r="N303" s="8" t="str">
        <x:v>Direct</x:v>
      </x:c>
      <x:c r="O303" s="8" t="str">
        <x:v>Bank Transfer</x:v>
      </x:c>
      <x:c r="P303" s="8" t="str">
        <x:v>Closed Won</x:v>
      </x:c>
    </x:row>
    <x:row r="304">
      <x:c r="A304" s="8" t="str">
        <x:v>ORD-2025303</x:v>
      </x:c>
      <x:c r="B304" s="9" t="n">
        <x:v>45734</x:v>
      </x:c>
      <x:c r="C304" s="8" t="str">
        <x:v>South</x:v>
      </x:c>
      <x:c r="D304" s="8" t="str">
        <x:v>Ava Patel</x:v>
      </x:c>
      <x:c r="E304" s="8" t="str">
        <x:v>Maple Co</x:v>
      </x:c>
      <x:c r="F304" s="8" t="str">
        <x:v>Services</x:v>
      </x:c>
      <x:c r="G304" s="8" t="str">
        <x:v>Consulting Day</x:v>
      </x:c>
      <x:c r="H304" s="10" t="n">
        <x:v>23</x:v>
      </x:c>
      <x:c r="I304" s="11" t="n">
        <x:v>1400</x:v>
      </x:c>
      <x:c r="J304" s="12" t="n">
        <x:v>0.15</x:v>
      </x:c>
      <x:c r="K304" s="11" t="n">
        <x:f>H304*I304*(1-J304)</x:f>
        <x:v>27370</x:v>
      </x:c>
      <x:c r="L304" s="11" t="n">
        <x:f>H304*(I304*0.62)</x:f>
        <x:v>19964</x:v>
      </x:c>
      <x:c r="M304" s="11" t="n">
        <x:f>K304-L304</x:f>
        <x:v>7406</x:v>
      </x:c>
      <x:c r="N304" s="8" t="str">
        <x:v>Online</x:v>
      </x:c>
      <x:c r="O304" s="8" t="str">
        <x:v>PayPal</x:v>
      </x:c>
      <x:c r="P304" s="8" t="str">
        <x:v>Closed Won</x:v>
      </x:c>
    </x:row>
    <x:row r="305">
      <x:c r="A305" s="8" t="str">
        <x:v>ORD-2025304</x:v>
      </x:c>
      <x:c r="B305" s="9" t="n">
        <x:v>45821</x:v>
      </x:c>
      <x:c r="C305" s="8" t="str">
        <x:v>East</x:v>
      </x:c>
      <x:c r="D305" s="8" t="str">
        <x:v>Liam Chen</x:v>
      </x:c>
      <x:c r="E305" s="8" t="str">
        <x:v>Ironwood Inc</x:v>
      </x:c>
      <x:c r="F305" s="8" t="str">
        <x:v>Hardware</x:v>
      </x:c>
      <x:c r="G305" s="8" t="str">
        <x:v>Monitor 27</x:v>
      </x:c>
      <x:c r="H305" s="10" t="n">
        <x:v>12</x:v>
      </x:c>
      <x:c r="I305" s="11" t="n">
        <x:v>320</x:v>
      </x:c>
      <x:c r="J305" s="12" t="n">
        <x:v>0</x:v>
      </x:c>
      <x:c r="K305" s="11" t="n">
        <x:f>H305*I305*(1-J305)</x:f>
        <x:v>3840</x:v>
      </x:c>
      <x:c r="L305" s="11" t="n">
        <x:f>H305*(I305*0.62)</x:f>
        <x:v>2380.8</x:v>
      </x:c>
      <x:c r="M305" s="11" t="n">
        <x:f>K305-L305</x:f>
        <x:v>1459.1999999999998</x:v>
      </x:c>
      <x:c r="N305" s="8" t="str">
        <x:v>Online</x:v>
      </x:c>
      <x:c r="O305" s="8" t="str">
        <x:v>Credit Card</x:v>
      </x:c>
      <x:c r="P305" s="8" t="str">
        <x:v>Closed Won</x:v>
      </x:c>
    </x:row>
    <x:row r="306">
      <x:c r="A306" s="8" t="str">
        <x:v>ORD-2025305</x:v>
      </x:c>
      <x:c r="B306" s="9" t="n">
        <x:v>45693</x:v>
      </x:c>
      <x:c r="C306" s="8" t="str">
        <x:v>West</x:v>
      </x:c>
      <x:c r="D306" s="8" t="str">
        <x:v>Ethan Garcia</x:v>
      </x:c>
      <x:c r="E306" s="8" t="str">
        <x:v>Vertex Group</x:v>
      </x:c>
      <x:c r="F306" s="8" t="str">
        <x:v>Software</x:v>
      </x:c>
      <x:c r="G306" s="8" t="str">
        <x:v>ProjectFlow</x:v>
      </x:c>
      <x:c r="H306" s="10" t="n">
        <x:v>11</x:v>
      </x:c>
      <x:c r="I306" s="11" t="n">
        <x:v>700</x:v>
      </x:c>
      <x:c r="J306" s="12" t="n">
        <x:v>0</x:v>
      </x:c>
      <x:c r="K306" s="11" t="n">
        <x:f>H306*I306*(1-J306)</x:f>
        <x:v>7700</x:v>
      </x:c>
      <x:c r="L306" s="11" t="n">
        <x:f>H306*(I306*0.62)</x:f>
        <x:v>4774</x:v>
      </x:c>
      <x:c r="M306" s="11" t="n">
        <x:f>K306-L306</x:f>
        <x:v>2926</x:v>
      </x:c>
      <x:c r="N306" s="8" t="str">
        <x:v>Online</x:v>
      </x:c>
      <x:c r="O306" s="8" t="str">
        <x:v>PayPal</x:v>
      </x:c>
      <x:c r="P306" s="8" t="str">
        <x:v>Closed Won</x:v>
      </x:c>
    </x:row>
    <x:row r="307">
      <x:c r="A307" s="8" t="str">
        <x:v>ORD-2025306</x:v>
      </x:c>
      <x:c r="B307" s="9" t="n">
        <x:v>45946</x:v>
      </x:c>
      <x:c r="C307" s="8" t="str">
        <x:v>East</x:v>
      </x:c>
      <x:c r="D307" s="8" t="str">
        <x:v>Emma Martin</x:v>
      </x:c>
      <x:c r="E307" s="8" t="str">
        <x:v>Cedar Group</x:v>
      </x:c>
      <x:c r="F307" s="8" t="str">
        <x:v>Hardware</x:v>
      </x:c>
      <x:c r="G307" s="8" t="str">
        <x:v>Dock Station</x:v>
      </x:c>
      <x:c r="H307" s="10" t="n">
        <x:v>15</x:v>
      </x:c>
      <x:c r="I307" s="11" t="n">
        <x:v>180</x:v>
      </x:c>
      <x:c r="J307" s="12" t="n">
        <x:v>0</x:v>
      </x:c>
      <x:c r="K307" s="11" t="n">
        <x:f>H307*I307*(1-J307)</x:f>
        <x:v>2700</x:v>
      </x:c>
      <x:c r="L307" s="11" t="n">
        <x:f>H307*(I307*0.62)</x:f>
        <x:v>1674</x:v>
      </x:c>
      <x:c r="M307" s="11" t="n">
        <x:f>K307-L307</x:f>
        <x:v>1026</x:v>
      </x:c>
      <x:c r="N307" s="8" t="str">
        <x:v>Online</x:v>
      </x:c>
      <x:c r="O307" s="8" t="str">
        <x:v>PayPal</x:v>
      </x:c>
      <x:c r="P307" s="8" t="str">
        <x:v>Cancelled</x:v>
      </x:c>
    </x:row>
    <x:row r="308">
      <x:c r="A308" s="8" t="str">
        <x:v>ORD-2025307</x:v>
      </x:c>
      <x:c r="B308" s="9" t="n">
        <x:v>45735</x:v>
      </x:c>
      <x:c r="C308" s="8" t="str">
        <x:v>North</x:v>
      </x:c>
      <x:c r="D308" s="8" t="str">
        <x:v>Lucas Brown</x:v>
      </x:c>
      <x:c r="E308" s="8" t="str">
        <x:v>Acme Group</x:v>
      </x:c>
      <x:c r="F308" s="8" t="str">
        <x:v>Hardware</x:v>
      </x:c>
      <x:c r="G308" s="8" t="str">
        <x:v>Tablet Air</x:v>
      </x:c>
      <x:c r="H308" s="10" t="n">
        <x:v>8</x:v>
      </x:c>
      <x:c r="I308" s="11" t="n">
        <x:v>820</x:v>
      </x:c>
      <x:c r="J308" s="12" t="n">
        <x:v>0.1</x:v>
      </x:c>
      <x:c r="K308" s="11" t="n">
        <x:f>H308*I308*(1-J308)</x:f>
        <x:v>5904</x:v>
      </x:c>
      <x:c r="L308" s="11" t="n">
        <x:f>H308*(I308*0.62)</x:f>
        <x:v>4067.2</x:v>
      </x:c>
      <x:c r="M308" s="11" t="n">
        <x:f>K308-L308</x:f>
        <x:v>1836.8000000000002</x:v>
      </x:c>
      <x:c r="N308" s="8" t="str">
        <x:v>Partner</x:v>
      </x:c>
      <x:c r="O308" s="8" t="str">
        <x:v>Credit Card</x:v>
      </x:c>
      <x:c r="P308" s="8" t="str">
        <x:v>Cancelled</x:v>
      </x:c>
    </x:row>
    <x:row r="309">
      <x:c r="A309" s="8" t="str">
        <x:v>ORD-2025308</x:v>
      </x:c>
      <x:c r="B309" s="9" t="n">
        <x:v>45815</x:v>
      </x:c>
      <x:c r="C309" s="8" t="str">
        <x:v>North</x:v>
      </x:c>
      <x:c r="D309" s="8" t="str">
        <x:v>Mia Johnson</x:v>
      </x:c>
      <x:c r="E309" s="8" t="str">
        <x:v>Southridge Group</x:v>
      </x:c>
      <x:c r="F309" s="8" t="str">
        <x:v>Software</x:v>
      </x:c>
      <x:c r="G309" s="8" t="str">
        <x:v>ProjectFlow</x:v>
      </x:c>
      <x:c r="H309" s="10" t="n">
        <x:v>8</x:v>
      </x:c>
      <x:c r="I309" s="11" t="n">
        <x:v>700</x:v>
      </x:c>
      <x:c r="J309" s="12" t="n">
        <x:v>0.05</x:v>
      </x:c>
      <x:c r="K309" s="11" t="n">
        <x:f>H309*I309*(1-J309)</x:f>
        <x:v>5320</x:v>
      </x:c>
      <x:c r="L309" s="11" t="n">
        <x:f>H309*(I309*0.62)</x:f>
        <x:v>3472</x:v>
      </x:c>
      <x:c r="M309" s="11" t="n">
        <x:f>K309-L309</x:f>
        <x:v>1848</x:v>
      </x:c>
      <x:c r="N309" s="8" t="str">
        <x:v>Partner</x:v>
      </x:c>
      <x:c r="O309" s="8" t="str">
        <x:v>Credit Card</x:v>
      </x:c>
      <x:c r="P309" s="8" t="str">
        <x:v>Cancelled</x:v>
      </x:c>
    </x:row>
    <x:row r="310">
      <x:c r="A310" s="8" t="str">
        <x:v>ORD-2025309</x:v>
      </x:c>
      <x:c r="B310" s="9" t="n">
        <x:v>45705</x:v>
      </x:c>
      <x:c r="C310" s="8" t="str">
        <x:v>North</x:v>
      </x:c>
      <x:c r="D310" s="8" t="str">
        <x:v>Mia Johnson</x:v>
      </x:c>
      <x:c r="E310" s="8" t="str">
        <x:v>Southridge Co</x:v>
      </x:c>
      <x:c r="F310" s="8" t="str">
        <x:v>Hardware</x:v>
      </x:c>
      <x:c r="G310" s="8" t="str">
        <x:v>Dock Station</x:v>
      </x:c>
      <x:c r="H310" s="10" t="n">
        <x:v>14</x:v>
      </x:c>
      <x:c r="I310" s="11" t="n">
        <x:v>180</x:v>
      </x:c>
      <x:c r="J310" s="12" t="n">
        <x:v>0.15</x:v>
      </x:c>
      <x:c r="K310" s="11" t="n">
        <x:f>H310*I310*(1-J310)</x:f>
        <x:v>2142</x:v>
      </x:c>
      <x:c r="L310" s="11" t="n">
        <x:f>H310*(I310*0.62)</x:f>
        <x:v>1562.3999999999999</x:v>
      </x:c>
      <x:c r="M310" s="11" t="n">
        <x:f>K310-L310</x:f>
        <x:v>579.6000000000001</x:v>
      </x:c>
      <x:c r="N310" s="8" t="str">
        <x:v>Partner</x:v>
      </x:c>
      <x:c r="O310" s="8" t="str">
        <x:v>PayPal</x:v>
      </x:c>
      <x:c r="P310" s="8" t="str">
        <x:v>Cancelled</x:v>
      </x:c>
    </x:row>
    <x:row r="311">
      <x:c r="A311" s="8" t="str">
        <x:v>ORD-2025310</x:v>
      </x:c>
      <x:c r="B311" s="9" t="n">
        <x:v>45916</x:v>
      </x:c>
      <x:c r="C311" s="8" t="str">
        <x:v>South</x:v>
      </x:c>
      <x:c r="D311" s="8" t="str">
        <x:v>Lucas Brown</x:v>
      </x:c>
      <x:c r="E311" s="8" t="str">
        <x:v>BlueSky Inc</x:v>
      </x:c>
      <x:c r="F311" s="8" t="str">
        <x:v>Software</x:v>
      </x:c>
      <x:c r="G311" s="8" t="str">
        <x:v>CRM Pro</x:v>
      </x:c>
      <x:c r="H311" s="10" t="n">
        <x:v>19</x:v>
      </x:c>
      <x:c r="I311" s="11" t="n">
        <x:v>1200</x:v>
      </x:c>
      <x:c r="J311" s="12" t="n">
        <x:v>0.1</x:v>
      </x:c>
      <x:c r="K311" s="11" t="n">
        <x:f>H311*I311*(1-J311)</x:f>
        <x:v>20520</x:v>
      </x:c>
      <x:c r="L311" s="11" t="n">
        <x:f>H311*(I311*0.62)</x:f>
        <x:v>14136</x:v>
      </x:c>
      <x:c r="M311" s="11" t="n">
        <x:f>K311-L311</x:f>
        <x:v>6384</x:v>
      </x:c>
      <x:c r="N311" s="8" t="str">
        <x:v>Direct</x:v>
      </x:c>
      <x:c r="O311" s="8" t="str">
        <x:v>PayPal</x:v>
      </x:c>
      <x:c r="P311" s="8" t="str">
        <x:v>Shipped</x:v>
      </x:c>
    </x:row>
    <x:row r="312">
      <x:c r="A312" s="8" t="str">
        <x:v>ORD-2025311</x:v>
      </x:c>
      <x:c r="B312" s="9" t="n">
        <x:v>45807</x:v>
      </x:c>
      <x:c r="C312" s="8" t="str">
        <x:v>East</x:v>
      </x:c>
      <x:c r="D312" s="8" t="str">
        <x:v>Sophia Kim</x:v>
      </x:c>
      <x:c r="E312" s="8" t="str">
        <x:v>SilverLine Co</x:v>
      </x:c>
      <x:c r="F312" s="8" t="str">
        <x:v>Hardware</x:v>
      </x:c>
      <x:c r="G312" s="8" t="str">
        <x:v>Tablet Air</x:v>
      </x:c>
      <x:c r="H312" s="10" t="n">
        <x:v>23</x:v>
      </x:c>
      <x:c r="I312" s="11" t="n">
        <x:v>820</x:v>
      </x:c>
      <x:c r="J312" s="12" t="n">
        <x:v>0.2</x:v>
      </x:c>
      <x:c r="K312" s="11" t="n">
        <x:f>H312*I312*(1-J312)</x:f>
        <x:v>15088</x:v>
      </x:c>
      <x:c r="L312" s="11" t="n">
        <x:f>H312*(I312*0.62)</x:f>
        <x:v>11693.199999999999</x:v>
      </x:c>
      <x:c r="M312" s="11" t="n">
        <x:f>K312-L312</x:f>
        <x:v>3394.800000000001</x:v>
      </x:c>
      <x:c r="N312" s="8" t="str">
        <x:v>Online</x:v>
      </x:c>
      <x:c r="O312" s="8" t="str">
        <x:v>Invoice</x:v>
      </x:c>
      <x:c r="P312" s="8" t="str">
        <x:v>Closed Won</x:v>
      </x:c>
    </x:row>
    <x:row r="313">
      <x:c r="A313" s="8" t="str">
        <x:v>ORD-2025312</x:v>
      </x:c>
      <x:c r="B313" s="9" t="n">
        <x:v>45696</x:v>
      </x:c>
      <x:c r="C313" s="8" t="str">
        <x:v>South</x:v>
      </x:c>
      <x:c r="D313" s="8" t="str">
        <x:v>Noah Davis</x:v>
      </x:c>
      <x:c r="E313" s="8" t="str">
        <x:v>Ironwood Co</x:v>
      </x:c>
      <x:c r="F313" s="8" t="str">
        <x:v>Services</x:v>
      </x:c>
      <x:c r="G313" s="8" t="str">
        <x:v>Training</x:v>
      </x:c>
      <x:c r="H313" s="10" t="n">
        <x:v>4</x:v>
      </x:c>
      <x:c r="I313" s="11" t="n">
        <x:v>900</x:v>
      </x:c>
      <x:c r="J313" s="12" t="n">
        <x:v>0</x:v>
      </x:c>
      <x:c r="K313" s="11" t="n">
        <x:f>H313*I313*(1-J313)</x:f>
        <x:v>3600</x:v>
      </x:c>
      <x:c r="L313" s="11" t="n">
        <x:f>H313*(I313*0.62)</x:f>
        <x:v>2232</x:v>
      </x:c>
      <x:c r="M313" s="11" t="n">
        <x:f>K313-L313</x:f>
        <x:v>1368</x:v>
      </x:c>
      <x:c r="N313" s="8" t="str">
        <x:v>Direct</x:v>
      </x:c>
      <x:c r="O313" s="8" t="str">
        <x:v>Bank Transfer</x:v>
      </x:c>
      <x:c r="P313" s="8" t="str">
        <x:v>Closed Won</x:v>
      </x:c>
    </x:row>
    <x:row r="314">
      <x:c r="A314" s="8" t="str">
        <x:v>ORD-2025313</x:v>
      </x:c>
      <x:c r="B314" s="9" t="n">
        <x:v>45719</x:v>
      </x:c>
      <x:c r="C314" s="8" t="str">
        <x:v>Central</x:v>
      </x:c>
      <x:c r="D314" s="8" t="str">
        <x:v>Sophia Kim</x:v>
      </x:c>
      <x:c r="E314" s="8" t="str">
        <x:v>Nexus Co</x:v>
      </x:c>
      <x:c r="F314" s="8" t="str">
        <x:v>Services</x:v>
      </x:c>
      <x:c r="G314" s="8" t="str">
        <x:v>Consulting Day</x:v>
      </x:c>
      <x:c r="H314" s="10" t="n">
        <x:v>15</x:v>
      </x:c>
      <x:c r="I314" s="11" t="n">
        <x:v>1400</x:v>
      </x:c>
      <x:c r="J314" s="12" t="n">
        <x:v>0</x:v>
      </x:c>
      <x:c r="K314" s="11" t="n">
        <x:f>H314*I314*(1-J314)</x:f>
        <x:v>21000</x:v>
      </x:c>
      <x:c r="L314" s="11" t="n">
        <x:f>H314*(I314*0.62)</x:f>
        <x:v>13020</x:v>
      </x:c>
      <x:c r="M314" s="11" t="n">
        <x:f>K314-L314</x:f>
        <x:v>7980</x:v>
      </x:c>
      <x:c r="N314" s="8" t="str">
        <x:v>Partner</x:v>
      </x:c>
      <x:c r="O314" s="8" t="str">
        <x:v>Invoice</x:v>
      </x:c>
      <x:c r="P314" s="8" t="str">
        <x:v>Returned</x:v>
      </x:c>
    </x:row>
    <x:row r="315">
      <x:c r="A315" s="8" t="str">
        <x:v>ORD-2025314</x:v>
      </x:c>
      <x:c r="B315" s="9" t="n">
        <x:v>46009</x:v>
      </x:c>
      <x:c r="C315" s="8" t="str">
        <x:v>East</x:v>
      </x:c>
      <x:c r="D315" s="8" t="str">
        <x:v>Emma Martin</x:v>
      </x:c>
      <x:c r="E315" s="8" t="str">
        <x:v>Summit Inc</x:v>
      </x:c>
      <x:c r="F315" s="8" t="str">
        <x:v>Software</x:v>
      </x:c>
      <x:c r="G315" s="8" t="str">
        <x:v>Analytics Cloud</x:v>
      </x:c>
      <x:c r="H315" s="10" t="n">
        <x:v>7</x:v>
      </x:c>
      <x:c r="I315" s="11" t="n">
        <x:v>1800</x:v>
      </x:c>
      <x:c r="J315" s="12" t="n">
        <x:v>0.2</x:v>
      </x:c>
      <x:c r="K315" s="11" t="n">
        <x:f>H315*I315*(1-J315)</x:f>
        <x:v>10080</x:v>
      </x:c>
      <x:c r="L315" s="11" t="n">
        <x:f>H315*(I315*0.62)</x:f>
        <x:v>7812</x:v>
      </x:c>
      <x:c r="M315" s="11" t="n">
        <x:f>K315-L315</x:f>
        <x:v>2268</x:v>
      </x:c>
      <x:c r="N315" s="8" t="str">
        <x:v>Partner</x:v>
      </x:c>
      <x:c r="O315" s="8" t="str">
        <x:v>Bank Transfer</x:v>
      </x:c>
      <x:c r="P315" s="8" t="str">
        <x:v>Closed Won</x:v>
      </x:c>
    </x:row>
    <x:row r="316">
      <x:c r="A316" s="8" t="str">
        <x:v>ORD-2025315</x:v>
      </x:c>
      <x:c r="B316" s="9" t="n">
        <x:v>45860</x:v>
      </x:c>
      <x:c r="C316" s="8" t="str">
        <x:v>Central</x:v>
      </x:c>
      <x:c r="D316" s="8" t="str">
        <x:v>Ava Patel</x:v>
      </x:c>
      <x:c r="E316" s="8" t="str">
        <x:v>Vertex Co</x:v>
      </x:c>
      <x:c r="F316" s="8" t="str">
        <x:v>Hardware</x:v>
      </x:c>
      <x:c r="G316" s="8" t="str">
        <x:v>Dock Station</x:v>
      </x:c>
      <x:c r="H316" s="10" t="n">
        <x:v>9</x:v>
      </x:c>
      <x:c r="I316" s="11" t="n">
        <x:v>180</x:v>
      </x:c>
      <x:c r="J316" s="12" t="n">
        <x:v>0.2</x:v>
      </x:c>
      <x:c r="K316" s="11" t="n">
        <x:f>H316*I316*(1-J316)</x:f>
        <x:v>1296</x:v>
      </x:c>
      <x:c r="L316" s="11" t="n">
        <x:f>H316*(I316*0.62)</x:f>
        <x:v>1004.4</x:v>
      </x:c>
      <x:c r="M316" s="11" t="n">
        <x:f>K316-L316</x:f>
        <x:v>291.6</x:v>
      </x:c>
      <x:c r="N316" s="8" t="str">
        <x:v>Direct</x:v>
      </x:c>
      <x:c r="O316" s="8" t="str">
        <x:v>Credit Card</x:v>
      </x:c>
      <x:c r="P316" s="8" t="str">
        <x:v>Cancelled</x:v>
      </x:c>
    </x:row>
    <x:row r="317">
      <x:c r="A317" s="8" t="str">
        <x:v>ORD-2025316</x:v>
      </x:c>
      <x:c r="B317" s="9" t="n">
        <x:v>45706</x:v>
      </x:c>
      <x:c r="C317" s="8" t="str">
        <x:v>West</x:v>
      </x:c>
      <x:c r="D317" s="8" t="str">
        <x:v>Liam Chen</x:v>
      </x:c>
      <x:c r="E317" s="8" t="str">
        <x:v>Urban Inc</x:v>
      </x:c>
      <x:c r="F317" s="8" t="str">
        <x:v>Accessories</x:v>
      </x:c>
      <x:c r="G317" s="8" t="str">
        <x:v>Keyboard Pro</x:v>
      </x:c>
      <x:c r="H317" s="10" t="n">
        <x:v>4</x:v>
      </x:c>
      <x:c r="I317" s="11" t="n">
        <x:v>95</x:v>
      </x:c>
      <x:c r="J317" s="12" t="n">
        <x:v>0</x:v>
      </x:c>
      <x:c r="K317" s="11" t="n">
        <x:f>H317*I317*(1-J317)</x:f>
        <x:v>380</x:v>
      </x:c>
      <x:c r="L317" s="11" t="n">
        <x:f>H317*(I317*0.62)</x:f>
        <x:v>235.6</x:v>
      </x:c>
      <x:c r="M317" s="11" t="n">
        <x:f>K317-L317</x:f>
        <x:v>144.4</x:v>
      </x:c>
      <x:c r="N317" s="8" t="str">
        <x:v>Direct</x:v>
      </x:c>
      <x:c r="O317" s="8" t="str">
        <x:v>Bank Transfer</x:v>
      </x:c>
      <x:c r="P317" s="8" t="str">
        <x:v>Closed Won</x:v>
      </x:c>
    </x:row>
    <x:row r="318">
      <x:c r="A318" s="8" t="str">
        <x:v>ORD-2025317</x:v>
      </x:c>
      <x:c r="B318" s="9" t="n">
        <x:v>46009</x:v>
      </x:c>
      <x:c r="C318" s="8" t="str">
        <x:v>North</x:v>
      </x:c>
      <x:c r="D318" s="8" t="str">
        <x:v>Emma Martin</x:v>
      </x:c>
      <x:c r="E318" s="8" t="str">
        <x:v>Ironwood Group</x:v>
      </x:c>
      <x:c r="F318" s="8" t="str">
        <x:v>Accessories</x:v>
      </x:c>
      <x:c r="G318" s="8" t="str">
        <x:v>Webcam HD</x:v>
      </x:c>
      <x:c r="H318" s="10" t="n">
        <x:v>9</x:v>
      </x:c>
      <x:c r="I318" s="11" t="n">
        <x:v>110</x:v>
      </x:c>
      <x:c r="J318" s="12" t="n">
        <x:v>0.2</x:v>
      </x:c>
      <x:c r="K318" s="11" t="n">
        <x:f>H318*I318*(1-J318)</x:f>
        <x:v>792</x:v>
      </x:c>
      <x:c r="L318" s="11" t="n">
        <x:f>H318*(I318*0.62)</x:f>
        <x:v>613.8000000000001</x:v>
      </x:c>
      <x:c r="M318" s="11" t="n">
        <x:f>K318-L318</x:f>
        <x:v>178.19999999999993</x:v>
      </x:c>
      <x:c r="N318" s="8" t="str">
        <x:v>Direct</x:v>
      </x:c>
      <x:c r="O318" s="8" t="str">
        <x:v>Credit Card</x:v>
      </x:c>
      <x:c r="P318" s="8" t="str">
        <x:v>Cancelled</x:v>
      </x:c>
    </x:row>
    <x:row r="319">
      <x:c r="A319" s="8" t="str">
        <x:v>ORD-2025318</x:v>
      </x:c>
      <x:c r="B319" s="9" t="n">
        <x:v>45723</x:v>
      </x:c>
      <x:c r="C319" s="8" t="str">
        <x:v>North</x:v>
      </x:c>
      <x:c r="D319" s="8" t="str">
        <x:v>Sophia Kim</x:v>
      </x:c>
      <x:c r="E319" s="8" t="str">
        <x:v>Pioneer Group</x:v>
      </x:c>
      <x:c r="F319" s="8" t="str">
        <x:v>Hardware</x:v>
      </x:c>
      <x:c r="G319" s="8" t="str">
        <x:v>Monitor 27</x:v>
      </x:c>
      <x:c r="H319" s="10" t="n">
        <x:v>2</x:v>
      </x:c>
      <x:c r="I319" s="11" t="n">
        <x:v>320</x:v>
      </x:c>
      <x:c r="J319" s="12" t="n">
        <x:v>0.05</x:v>
      </x:c>
      <x:c r="K319" s="11" t="n">
        <x:f>H319*I319*(1-J319)</x:f>
        <x:v>608</x:v>
      </x:c>
      <x:c r="L319" s="11" t="n">
        <x:f>H319*(I319*0.62)</x:f>
        <x:v>396.8</x:v>
      </x:c>
      <x:c r="M319" s="11" t="n">
        <x:f>K319-L319</x:f>
        <x:v>211.2</x:v>
      </x:c>
      <x:c r="N319" s="8" t="str">
        <x:v>Direct</x:v>
      </x:c>
      <x:c r="O319" s="8" t="str">
        <x:v>Bank Transfer</x:v>
      </x:c>
      <x:c r="P319" s="8" t="str">
        <x:v>Cancelled</x:v>
      </x:c>
    </x:row>
    <x:row r="320">
      <x:c r="A320" s="8" t="str">
        <x:v>ORD-2025319</x:v>
      </x:c>
      <x:c r="B320" s="9" t="n">
        <x:v>45912</x:v>
      </x:c>
      <x:c r="C320" s="8" t="str">
        <x:v>North</x:v>
      </x:c>
      <x:c r="D320" s="8" t="str">
        <x:v>Lucas Brown</x:v>
      </x:c>
      <x:c r="E320" s="8" t="str">
        <x:v>RedStone Co</x:v>
      </x:c>
      <x:c r="F320" s="8" t="str">
        <x:v>Accessories</x:v>
      </x:c>
      <x:c r="G320" s="8" t="str">
        <x:v>Headset</x:v>
      </x:c>
      <x:c r="H320" s="10" t="n">
        <x:v>6</x:v>
      </x:c>
      <x:c r="I320" s="11" t="n">
        <x:v>85</x:v>
      </x:c>
      <x:c r="J320" s="12" t="n">
        <x:v>0</x:v>
      </x:c>
      <x:c r="K320" s="11" t="n">
        <x:f>H320*I320*(1-J320)</x:f>
        <x:v>510</x:v>
      </x:c>
      <x:c r="L320" s="11" t="n">
        <x:f>H320*(I320*0.62)</x:f>
        <x:v>316.20000000000005</x:v>
      </x:c>
      <x:c r="M320" s="11" t="n">
        <x:f>K320-L320</x:f>
        <x:v>193.79999999999995</x:v>
      </x:c>
      <x:c r="N320" s="8" t="str">
        <x:v>Direct</x:v>
      </x:c>
      <x:c r="O320" s="8" t="str">
        <x:v>Bank Transfer</x:v>
      </x:c>
      <x:c r="P320" s="8" t="str">
        <x:v>Closed Won</x:v>
      </x:c>
    </x:row>
    <x:row r="321">
      <x:c r="A321" s="8" t="str">
        <x:v>ORD-2025320</x:v>
      </x:c>
      <x:c r="B321" s="9" t="n">
        <x:v>45675</x:v>
      </x:c>
      <x:c r="C321" s="8" t="str">
        <x:v>Central</x:v>
      </x:c>
      <x:c r="D321" s="8" t="str">
        <x:v>Emma Martin</x:v>
      </x:c>
      <x:c r="E321" s="8" t="str">
        <x:v>Nova Co</x:v>
      </x:c>
      <x:c r="F321" s="8" t="str">
        <x:v>Accessories</x:v>
      </x:c>
      <x:c r="G321" s="8" t="str">
        <x:v>Keyboard Pro</x:v>
      </x:c>
      <x:c r="H321" s="10" t="n">
        <x:v>8</x:v>
      </x:c>
      <x:c r="I321" s="11" t="n">
        <x:v>95</x:v>
      </x:c>
      <x:c r="J321" s="12" t="n">
        <x:v>0.15</x:v>
      </x:c>
      <x:c r="K321" s="11" t="n">
        <x:f>H321*I321*(1-J321)</x:f>
        <x:v>646</x:v>
      </x:c>
      <x:c r="L321" s="11" t="n">
        <x:f>H321*(I321*0.62)</x:f>
        <x:v>471.2</x:v>
      </x:c>
      <x:c r="M321" s="11" t="n">
        <x:f>K321-L321</x:f>
        <x:v>174.8</x:v>
      </x:c>
      <x:c r="N321" s="8" t="str">
        <x:v>Partner</x:v>
      </x:c>
      <x:c r="O321" s="8" t="str">
        <x:v>PayPal</x:v>
      </x:c>
      <x:c r="P321" s="8" t="str">
        <x:v>Closed Won</x:v>
      </x:c>
    </x:row>
    <x:row r="322">
      <x:c r="A322" s="8" t="str">
        <x:v>ORD-2025321</x:v>
      </x:c>
      <x:c r="B322" s="9" t="n">
        <x:v>45702</x:v>
      </x:c>
      <x:c r="C322" s="8" t="str">
        <x:v>East</x:v>
      </x:c>
      <x:c r="D322" s="8" t="str">
        <x:v>Lucas Brown</x:v>
      </x:c>
      <x:c r="E322" s="8" t="str">
        <x:v>Urban Inc</x:v>
      </x:c>
      <x:c r="F322" s="8" t="str">
        <x:v>Accessories</x:v>
      </x:c>
      <x:c r="G322" s="8" t="str">
        <x:v>Wireless Mouse</x:v>
      </x:c>
      <x:c r="H322" s="10" t="n">
        <x:v>14</x:v>
      </x:c>
      <x:c r="I322" s="11" t="n">
        <x:v>40</x:v>
      </x:c>
      <x:c r="J322" s="12" t="n">
        <x:v>0</x:v>
      </x:c>
      <x:c r="K322" s="11" t="n">
        <x:f>H322*I322*(1-J322)</x:f>
        <x:v>560</x:v>
      </x:c>
      <x:c r="L322" s="11" t="n">
        <x:f>H322*(I322*0.62)</x:f>
        <x:v>347.2</x:v>
      </x:c>
      <x:c r="M322" s="11" t="n">
        <x:f>K322-L322</x:f>
        <x:v>212.8</x:v>
      </x:c>
      <x:c r="N322" s="8" t="str">
        <x:v>Online</x:v>
      </x:c>
      <x:c r="O322" s="8" t="str">
        <x:v>Bank Transfer</x:v>
      </x:c>
      <x:c r="P322" s="8" t="str">
        <x:v>Shipped</x:v>
      </x:c>
    </x:row>
    <x:row r="323">
      <x:c r="A323" s="8" t="str">
        <x:v>ORD-2025322</x:v>
      </x:c>
      <x:c r="B323" s="9" t="n">
        <x:v>45841</x:v>
      </x:c>
      <x:c r="C323" s="8" t="str">
        <x:v>West</x:v>
      </x:c>
      <x:c r="D323" s="8" t="str">
        <x:v>Mason Lee</x:v>
      </x:c>
      <x:c r="E323" s="8" t="str">
        <x:v>NorthStar Co</x:v>
      </x:c>
      <x:c r="F323" s="8" t="str">
        <x:v>Software</x:v>
      </x:c>
      <x:c r="G323" s="8" t="str">
        <x:v>ProjectFlow</x:v>
      </x:c>
      <x:c r="H323" s="10" t="n">
        <x:v>12</x:v>
      </x:c>
      <x:c r="I323" s="11" t="n">
        <x:v>700</x:v>
      </x:c>
      <x:c r="J323" s="12" t="n">
        <x:v>0.1</x:v>
      </x:c>
      <x:c r="K323" s="11" t="n">
        <x:f>H323*I323*(1-J323)</x:f>
        <x:v>7560</x:v>
      </x:c>
      <x:c r="L323" s="11" t="n">
        <x:f>H323*(I323*0.62)</x:f>
        <x:v>5208</x:v>
      </x:c>
      <x:c r="M323" s="11" t="n">
        <x:f>K323-L323</x:f>
        <x:v>2352</x:v>
      </x:c>
      <x:c r="N323" s="8" t="str">
        <x:v>Online</x:v>
      </x:c>
      <x:c r="O323" s="8" t="str">
        <x:v>Invoice</x:v>
      </x:c>
      <x:c r="P323" s="8" t="str">
        <x:v>Closed Won</x:v>
      </x:c>
    </x:row>
    <x:row r="324">
      <x:c r="A324" s="8" t="str">
        <x:v>ORD-2025323</x:v>
      </x:c>
      <x:c r="B324" s="9" t="n">
        <x:v>45821</x:v>
      </x:c>
      <x:c r="C324" s="8" t="str">
        <x:v>Central</x:v>
      </x:c>
      <x:c r="D324" s="8" t="str">
        <x:v>Mia Johnson</x:v>
      </x:c>
      <x:c r="E324" s="8" t="str">
        <x:v>Acme Group</x:v>
      </x:c>
      <x:c r="F324" s="8" t="str">
        <x:v>Hardware</x:v>
      </x:c>
      <x:c r="G324" s="8" t="str">
        <x:v>Laptop X</x:v>
      </x:c>
      <x:c r="H324" s="10" t="n">
        <x:v>25</x:v>
      </x:c>
      <x:c r="I324" s="11" t="n">
        <x:v>1500</x:v>
      </x:c>
      <x:c r="J324" s="12" t="n">
        <x:v>0</x:v>
      </x:c>
      <x:c r="K324" s="11" t="n">
        <x:f>H324*I324*(1-J324)</x:f>
        <x:v>37500</x:v>
      </x:c>
      <x:c r="L324" s="11" t="n">
        <x:f>H324*(I324*0.62)</x:f>
        <x:v>23250</x:v>
      </x:c>
      <x:c r="M324" s="11" t="n">
        <x:f>K324-L324</x:f>
        <x:v>14250</x:v>
      </x:c>
      <x:c r="N324" s="8" t="str">
        <x:v>Direct</x:v>
      </x:c>
      <x:c r="O324" s="8" t="str">
        <x:v>PayPal</x:v>
      </x:c>
      <x:c r="P324" s="8" t="str">
        <x:v>Pending</x:v>
      </x:c>
    </x:row>
    <x:row r="325">
      <x:c r="A325" s="8" t="str">
        <x:v>ORD-2025324</x:v>
      </x:c>
      <x:c r="B325" s="9" t="n">
        <x:v>45709</x:v>
      </x:c>
      <x:c r="C325" s="8" t="str">
        <x:v>South</x:v>
      </x:c>
      <x:c r="D325" s="8" t="str">
        <x:v>Mia Johnson</x:v>
      </x:c>
      <x:c r="E325" s="8" t="str">
        <x:v>Prime Co</x:v>
      </x:c>
      <x:c r="F325" s="8" t="str">
        <x:v>Hardware</x:v>
      </x:c>
      <x:c r="G325" s="8" t="str">
        <x:v>Tablet Air</x:v>
      </x:c>
      <x:c r="H325" s="10" t="n">
        <x:v>18</x:v>
      </x:c>
      <x:c r="I325" s="11" t="n">
        <x:v>820</x:v>
      </x:c>
      <x:c r="J325" s="12" t="n">
        <x:v>0.2</x:v>
      </x:c>
      <x:c r="K325" s="11" t="n">
        <x:f>H325*I325*(1-J325)</x:f>
        <x:v>11808</x:v>
      </x:c>
      <x:c r="L325" s="11" t="n">
        <x:f>H325*(I325*0.62)</x:f>
        <x:v>9151.199999999999</x:v>
      </x:c>
      <x:c r="M325" s="11" t="n">
        <x:f>K325-L325</x:f>
        <x:v>2656.800000000001</x:v>
      </x:c>
      <x:c r="N325" s="8" t="str">
        <x:v>Online</x:v>
      </x:c>
      <x:c r="O325" s="8" t="str">
        <x:v>Credit Card</x:v>
      </x:c>
      <x:c r="P325" s="8" t="str">
        <x:v>Shipped</x:v>
      </x:c>
    </x:row>
    <x:row r="326">
      <x:c r="A326" s="8" t="str">
        <x:v>ORD-2025325</x:v>
      </x:c>
      <x:c r="B326" s="9" t="n">
        <x:v>45839</x:v>
      </x:c>
      <x:c r="C326" s="8" t="str">
        <x:v>South</x:v>
      </x:c>
      <x:c r="D326" s="8" t="str">
        <x:v>Noah Davis</x:v>
      </x:c>
      <x:c r="E326" s="8" t="str">
        <x:v>Cedar Co</x:v>
      </x:c>
      <x:c r="F326" s="8" t="str">
        <x:v>Hardware</x:v>
      </x:c>
      <x:c r="G326" s="8" t="str">
        <x:v>Monitor 27</x:v>
      </x:c>
      <x:c r="H326" s="10" t="n">
        <x:v>19</x:v>
      </x:c>
      <x:c r="I326" s="11" t="n">
        <x:v>320</x:v>
      </x:c>
      <x:c r="J326" s="12" t="n">
        <x:v>0</x:v>
      </x:c>
      <x:c r="K326" s="11" t="n">
        <x:f>H326*I326*(1-J326)</x:f>
        <x:v>6080</x:v>
      </x:c>
      <x:c r="L326" s="11" t="n">
        <x:f>H326*(I326*0.62)</x:f>
        <x:v>3769.6</x:v>
      </x:c>
      <x:c r="M326" s="11" t="n">
        <x:f>K326-L326</x:f>
        <x:v>2310.4</x:v>
      </x:c>
      <x:c r="N326" s="8" t="str">
        <x:v>Online</x:v>
      </x:c>
      <x:c r="O326" s="8" t="str">
        <x:v>Invoice</x:v>
      </x:c>
      <x:c r="P326" s="8" t="str">
        <x:v>Cancelled</x:v>
      </x:c>
    </x:row>
    <x:row r="327">
      <x:c r="A327" s="8" t="str">
        <x:v>ORD-2025326</x:v>
      </x:c>
      <x:c r="B327" s="9" t="n">
        <x:v>45948</x:v>
      </x:c>
      <x:c r="C327" s="8" t="str">
        <x:v>Central</x:v>
      </x:c>
      <x:c r="D327" s="8" t="str">
        <x:v>Noah Davis</x:v>
      </x:c>
      <x:c r="E327" s="8" t="str">
        <x:v>Ironwood LLC</x:v>
      </x:c>
      <x:c r="F327" s="8" t="str">
        <x:v>Software</x:v>
      </x:c>
      <x:c r="G327" s="8" t="str">
        <x:v>HR Suite</x:v>
      </x:c>
      <x:c r="H327" s="10" t="n">
        <x:v>7</x:v>
      </x:c>
      <x:c r="I327" s="11" t="n">
        <x:v>950</x:v>
      </x:c>
      <x:c r="J327" s="12" t="n">
        <x:v>0.2</x:v>
      </x:c>
      <x:c r="K327" s="11" t="n">
        <x:f>H327*I327*(1-J327)</x:f>
        <x:v>5320</x:v>
      </x:c>
      <x:c r="L327" s="11" t="n">
        <x:f>H327*(I327*0.62)</x:f>
        <x:v>4123</x:v>
      </x:c>
      <x:c r="M327" s="11" t="n">
        <x:f>K327-L327</x:f>
        <x:v>1197</x:v>
      </x:c>
      <x:c r="N327" s="8" t="str">
        <x:v>Partner</x:v>
      </x:c>
      <x:c r="O327" s="8" t="str">
        <x:v>Invoice</x:v>
      </x:c>
      <x:c r="P327" s="8" t="str">
        <x:v>Closed Won</x:v>
      </x:c>
    </x:row>
    <x:row r="328">
      <x:c r="A328" s="8" t="str">
        <x:v>ORD-2025327</x:v>
      </x:c>
      <x:c r="B328" s="9" t="n">
        <x:v>45686</x:v>
      </x:c>
      <x:c r="C328" s="8" t="str">
        <x:v>South</x:v>
      </x:c>
      <x:c r="D328" s="8" t="str">
        <x:v>Emma Martin</x:v>
      </x:c>
      <x:c r="E328" s="8" t="str">
        <x:v>Cedar LLC</x:v>
      </x:c>
      <x:c r="F328" s="8" t="str">
        <x:v>Software</x:v>
      </x:c>
      <x:c r="G328" s="8" t="str">
        <x:v>CRM Pro</x:v>
      </x:c>
      <x:c r="H328" s="10" t="n">
        <x:v>1</x:v>
      </x:c>
      <x:c r="I328" s="11" t="n">
        <x:v>1200</x:v>
      </x:c>
      <x:c r="J328" s="12" t="n">
        <x:v>0.1</x:v>
      </x:c>
      <x:c r="K328" s="11" t="n">
        <x:f>H328*I328*(1-J328)</x:f>
        <x:v>1080</x:v>
      </x:c>
      <x:c r="L328" s="11" t="n">
        <x:f>H328*(I328*0.62)</x:f>
        <x:v>744</x:v>
      </x:c>
      <x:c r="M328" s="11" t="n">
        <x:f>K328-L328</x:f>
        <x:v>336</x:v>
      </x:c>
      <x:c r="N328" s="8" t="str">
        <x:v>Partner</x:v>
      </x:c>
      <x:c r="O328" s="8" t="str">
        <x:v>Credit Card</x:v>
      </x:c>
      <x:c r="P328" s="8" t="str">
        <x:v>Closed Won</x:v>
      </x:c>
    </x:row>
    <x:row r="329">
      <x:c r="A329" s="8" t="str">
        <x:v>ORD-2025328</x:v>
      </x:c>
      <x:c r="B329" s="9" t="n">
        <x:v>45832</x:v>
      </x:c>
      <x:c r="C329" s="8" t="str">
        <x:v>South</x:v>
      </x:c>
      <x:c r="D329" s="8" t="str">
        <x:v>Sophia Kim</x:v>
      </x:c>
      <x:c r="E329" s="8" t="str">
        <x:v>Summit Group</x:v>
      </x:c>
      <x:c r="F329" s="8" t="str">
        <x:v>Hardware</x:v>
      </x:c>
      <x:c r="G329" s="8" t="str">
        <x:v>Tablet Air</x:v>
      </x:c>
      <x:c r="H329" s="10" t="n">
        <x:v>1</x:v>
      </x:c>
      <x:c r="I329" s="11" t="n">
        <x:v>820</x:v>
      </x:c>
      <x:c r="J329" s="12" t="n">
        <x:v>0</x:v>
      </x:c>
      <x:c r="K329" s="11" t="n">
        <x:f>H329*I329*(1-J329)</x:f>
        <x:v>820</x:v>
      </x:c>
      <x:c r="L329" s="11" t="n">
        <x:f>H329*(I329*0.62)</x:f>
        <x:v>508.4</x:v>
      </x:c>
      <x:c r="M329" s="11" t="n">
        <x:f>K329-L329</x:f>
        <x:v>311.6</x:v>
      </x:c>
      <x:c r="N329" s="8" t="str">
        <x:v>Online</x:v>
      </x:c>
      <x:c r="O329" s="8" t="str">
        <x:v>Bank Transfer</x:v>
      </x:c>
      <x:c r="P329" s="8" t="str">
        <x:v>Shipped</x:v>
      </x:c>
    </x:row>
    <x:row r="330">
      <x:c r="A330" s="8" t="str">
        <x:v>ORD-2025329</x:v>
      </x:c>
      <x:c r="B330" s="9" t="n">
        <x:v>45849</x:v>
      </x:c>
      <x:c r="C330" s="8" t="str">
        <x:v>West</x:v>
      </x:c>
      <x:c r="D330" s="8" t="str">
        <x:v>Emma Martin</x:v>
      </x:c>
      <x:c r="E330" s="8" t="str">
        <x:v>Pioneer LLC</x:v>
      </x:c>
      <x:c r="F330" s="8" t="str">
        <x:v>Services</x:v>
      </x:c>
      <x:c r="G330" s="8" t="str">
        <x:v>Implementation</x:v>
      </x:c>
      <x:c r="H330" s="10" t="n">
        <x:v>11</x:v>
      </x:c>
      <x:c r="I330" s="11" t="n">
        <x:v>2500</x:v>
      </x:c>
      <x:c r="J330" s="12" t="n">
        <x:v>0</x:v>
      </x:c>
      <x:c r="K330" s="11" t="n">
        <x:f>H330*I330*(1-J330)</x:f>
        <x:v>27500</x:v>
      </x:c>
      <x:c r="L330" s="11" t="n">
        <x:f>H330*(I330*0.62)</x:f>
        <x:v>17050</x:v>
      </x:c>
      <x:c r="M330" s="11" t="n">
        <x:f>K330-L330</x:f>
        <x:v>10450</x:v>
      </x:c>
      <x:c r="N330" s="8" t="str">
        <x:v>Partner</x:v>
      </x:c>
      <x:c r="O330" s="8" t="str">
        <x:v>Bank Transfer</x:v>
      </x:c>
      <x:c r="P330" s="8" t="str">
        <x:v>Cancelled</x:v>
      </x:c>
    </x:row>
    <x:row r="331">
      <x:c r="A331" s="8" t="str">
        <x:v>ORD-2025330</x:v>
      </x:c>
      <x:c r="B331" s="9" t="n">
        <x:v>45990</x:v>
      </x:c>
      <x:c r="C331" s="8" t="str">
        <x:v>East</x:v>
      </x:c>
      <x:c r="D331" s="8" t="str">
        <x:v>Noah Davis</x:v>
      </x:c>
      <x:c r="E331" s="8" t="str">
        <x:v>Maple Group</x:v>
      </x:c>
      <x:c r="F331" s="8" t="str">
        <x:v>Accessories</x:v>
      </x:c>
      <x:c r="G331" s="8" t="str">
        <x:v>Headset</x:v>
      </x:c>
      <x:c r="H331" s="10" t="n">
        <x:v>23</x:v>
      </x:c>
      <x:c r="I331" s="11" t="n">
        <x:v>85</x:v>
      </x:c>
      <x:c r="J331" s="12" t="n">
        <x:v>0.1</x:v>
      </x:c>
      <x:c r="K331" s="11" t="n">
        <x:f>H331*I331*(1-J331)</x:f>
        <x:v>1759.5</x:v>
      </x:c>
      <x:c r="L331" s="11" t="n">
        <x:f>H331*(I331*0.62)</x:f>
        <x:v>1212.1000000000001</x:v>
      </x:c>
      <x:c r="M331" s="11" t="n">
        <x:f>K331-L331</x:f>
        <x:v>547.3999999999999</x:v>
      </x:c>
      <x:c r="N331" s="8" t="str">
        <x:v>Partner</x:v>
      </x:c>
      <x:c r="O331" s="8" t="str">
        <x:v>Bank Transfer</x:v>
      </x:c>
      <x:c r="P331" s="8" t="str">
        <x:v>Shipped</x:v>
      </x:c>
    </x:row>
    <x:row r="332">
      <x:c r="A332" s="8" t="str">
        <x:v>ORD-2025331</x:v>
      </x:c>
      <x:c r="B332" s="9" t="n">
        <x:v>45815</x:v>
      </x:c>
      <x:c r="C332" s="8" t="str">
        <x:v>East</x:v>
      </x:c>
      <x:c r="D332" s="8" t="str">
        <x:v>Noah Davis</x:v>
      </x:c>
      <x:c r="E332" s="8" t="str">
        <x:v>GreenLeaf Co</x:v>
      </x:c>
      <x:c r="F332" s="8" t="str">
        <x:v>Hardware</x:v>
      </x:c>
      <x:c r="G332" s="8" t="str">
        <x:v>Monitor 27</x:v>
      </x:c>
      <x:c r="H332" s="10" t="n">
        <x:v>24</x:v>
      </x:c>
      <x:c r="I332" s="11" t="n">
        <x:v>320</x:v>
      </x:c>
      <x:c r="J332" s="12" t="n">
        <x:v>0</x:v>
      </x:c>
      <x:c r="K332" s="11" t="n">
        <x:f>H332*I332*(1-J332)</x:f>
        <x:v>7680</x:v>
      </x:c>
      <x:c r="L332" s="11" t="n">
        <x:f>H332*(I332*0.62)</x:f>
        <x:v>4761.6</x:v>
      </x:c>
      <x:c r="M332" s="11" t="n">
        <x:f>K332-L332</x:f>
        <x:v>2918.3999999999996</x:v>
      </x:c>
      <x:c r="N332" s="8" t="str">
        <x:v>Online</x:v>
      </x:c>
      <x:c r="O332" s="8" t="str">
        <x:v>PayPal</x:v>
      </x:c>
      <x:c r="P332" s="8" t="str">
        <x:v>Returned</x:v>
      </x:c>
    </x:row>
    <x:row r="333">
      <x:c r="A333" s="8" t="str">
        <x:v>ORD-2025332</x:v>
      </x:c>
      <x:c r="B333" s="9" t="n">
        <x:v>45966</x:v>
      </x:c>
      <x:c r="C333" s="8" t="str">
        <x:v>East</x:v>
      </x:c>
      <x:c r="D333" s="8" t="str">
        <x:v>Emma Martin</x:v>
      </x:c>
      <x:c r="E333" s="8" t="str">
        <x:v>Cedar LLC</x:v>
      </x:c>
      <x:c r="F333" s="8" t="str">
        <x:v>Software</x:v>
      </x:c>
      <x:c r="G333" s="8" t="str">
        <x:v>Analytics Cloud</x:v>
      </x:c>
      <x:c r="H333" s="10" t="n">
        <x:v>21</x:v>
      </x:c>
      <x:c r="I333" s="11" t="n">
        <x:v>1800</x:v>
      </x:c>
      <x:c r="J333" s="12" t="n">
        <x:v>0.1</x:v>
      </x:c>
      <x:c r="K333" s="11" t="n">
        <x:f>H333*I333*(1-J333)</x:f>
        <x:v>34020</x:v>
      </x:c>
      <x:c r="L333" s="11" t="n">
        <x:f>H333*(I333*0.62)</x:f>
        <x:v>23436</x:v>
      </x:c>
      <x:c r="M333" s="11" t="n">
        <x:f>K333-L333</x:f>
        <x:v>10584</x:v>
      </x:c>
      <x:c r="N333" s="8" t="str">
        <x:v>Direct</x:v>
      </x:c>
      <x:c r="O333" s="8" t="str">
        <x:v>PayPal</x:v>
      </x:c>
      <x:c r="P333" s="8" t="str">
        <x:v>Closed Won</x:v>
      </x:c>
    </x:row>
    <x:row r="334">
      <x:c r="A334" s="8" t="str">
        <x:v>ORD-2025333</x:v>
      </x:c>
      <x:c r="B334" s="9" t="n">
        <x:v>45835</x:v>
      </x:c>
      <x:c r="C334" s="8" t="str">
        <x:v>East</x:v>
      </x:c>
      <x:c r="D334" s="8" t="str">
        <x:v>Noah Davis</x:v>
      </x:c>
      <x:c r="E334" s="8" t="str">
        <x:v>BlueSky Group</x:v>
      </x:c>
      <x:c r="F334" s="8" t="str">
        <x:v>Software</x:v>
      </x:c>
      <x:c r="G334" s="8" t="str">
        <x:v>Analytics Cloud</x:v>
      </x:c>
      <x:c r="H334" s="10" t="n">
        <x:v>23</x:v>
      </x:c>
      <x:c r="I334" s="11" t="n">
        <x:v>1800</x:v>
      </x:c>
      <x:c r="J334" s="12" t="n">
        <x:v>0.15</x:v>
      </x:c>
      <x:c r="K334" s="11" t="n">
        <x:f>H334*I334*(1-J334)</x:f>
        <x:v>35190</x:v>
      </x:c>
      <x:c r="L334" s="11" t="n">
        <x:f>H334*(I334*0.62)</x:f>
        <x:v>25668</x:v>
      </x:c>
      <x:c r="M334" s="11" t="n">
        <x:f>K334-L334</x:f>
        <x:v>9522</x:v>
      </x:c>
      <x:c r="N334" s="8" t="str">
        <x:v>Online</x:v>
      </x:c>
      <x:c r="O334" s="8" t="str">
        <x:v>Invoice</x:v>
      </x:c>
      <x:c r="P334" s="8" t="str">
        <x:v>Closed Won</x:v>
      </x:c>
    </x:row>
    <x:row r="335">
      <x:c r="A335" s="8" t="str">
        <x:v>ORD-2025334</x:v>
      </x:c>
      <x:c r="B335" s="9" t="n">
        <x:v>45785</x:v>
      </x:c>
      <x:c r="C335" s="8" t="str">
        <x:v>North</x:v>
      </x:c>
      <x:c r="D335" s="8" t="str">
        <x:v>Sophia Kim</x:v>
      </x:c>
      <x:c r="E335" s="8" t="str">
        <x:v>Prime LLC</x:v>
      </x:c>
      <x:c r="F335" s="8" t="str">
        <x:v>Services</x:v>
      </x:c>
      <x:c r="G335" s="8" t="str">
        <x:v>Training</x:v>
      </x:c>
      <x:c r="H335" s="10" t="n">
        <x:v>4</x:v>
      </x:c>
      <x:c r="I335" s="11" t="n">
        <x:v>900</x:v>
      </x:c>
      <x:c r="J335" s="12" t="n">
        <x:v>0.15</x:v>
      </x:c>
      <x:c r="K335" s="11" t="n">
        <x:f>H335*I335*(1-J335)</x:f>
        <x:v>3060</x:v>
      </x:c>
      <x:c r="L335" s="11" t="n">
        <x:f>H335*(I335*0.62)</x:f>
        <x:v>2232</x:v>
      </x:c>
      <x:c r="M335" s="11" t="n">
        <x:f>K335-L335</x:f>
        <x:v>828</x:v>
      </x:c>
      <x:c r="N335" s="8" t="str">
        <x:v>Direct</x:v>
      </x:c>
      <x:c r="O335" s="8" t="str">
        <x:v>Credit Card</x:v>
      </x:c>
      <x:c r="P335" s="8" t="str">
        <x:v>Closed Won</x:v>
      </x:c>
    </x:row>
    <x:row r="336">
      <x:c r="A336" s="8" t="str">
        <x:v>ORD-2025335</x:v>
      </x:c>
      <x:c r="B336" s="9" t="n">
        <x:v>45869</x:v>
      </x:c>
      <x:c r="C336" s="8" t="str">
        <x:v>West</x:v>
      </x:c>
      <x:c r="D336" s="8" t="str">
        <x:v>Lucas Brown</x:v>
      </x:c>
      <x:c r="E336" s="8" t="str">
        <x:v>Harbor LLC</x:v>
      </x:c>
      <x:c r="F336" s="8" t="str">
        <x:v>Accessories</x:v>
      </x:c>
      <x:c r="G336" s="8" t="str">
        <x:v>Keyboard Pro</x:v>
      </x:c>
      <x:c r="H336" s="10" t="n">
        <x:v>18</x:v>
      </x:c>
      <x:c r="I336" s="11" t="n">
        <x:v>95</x:v>
      </x:c>
      <x:c r="J336" s="12" t="n">
        <x:v>0.05</x:v>
      </x:c>
      <x:c r="K336" s="11" t="n">
        <x:f>H336*I336*(1-J336)</x:f>
        <x:v>1624.5</x:v>
      </x:c>
      <x:c r="L336" s="11" t="n">
        <x:f>H336*(I336*0.62)</x:f>
        <x:v>1060.2</x:v>
      </x:c>
      <x:c r="M336" s="11" t="n">
        <x:f>K336-L336</x:f>
        <x:v>564.3</x:v>
      </x:c>
      <x:c r="N336" s="8" t="str">
        <x:v>Direct</x:v>
      </x:c>
      <x:c r="O336" s="8" t="str">
        <x:v>PayPal</x:v>
      </x:c>
      <x:c r="P336" s="8" t="str">
        <x:v>Shipped</x:v>
      </x:c>
    </x:row>
    <x:row r="337">
      <x:c r="A337" s="8" t="str">
        <x:v>ORD-2025336</x:v>
      </x:c>
      <x:c r="B337" s="9" t="n">
        <x:v>45889</x:v>
      </x:c>
      <x:c r="C337" s="8" t="str">
        <x:v>North</x:v>
      </x:c>
      <x:c r="D337" s="8" t="str">
        <x:v>Ava Patel</x:v>
      </x:c>
      <x:c r="E337" s="8" t="str">
        <x:v>Vertex Inc</x:v>
      </x:c>
      <x:c r="F337" s="8" t="str">
        <x:v>Hardware</x:v>
      </x:c>
      <x:c r="G337" s="8" t="str">
        <x:v>Tablet Air</x:v>
      </x:c>
      <x:c r="H337" s="10" t="n">
        <x:v>1</x:v>
      </x:c>
      <x:c r="I337" s="11" t="n">
        <x:v>820</x:v>
      </x:c>
      <x:c r="J337" s="12" t="n">
        <x:v>0</x:v>
      </x:c>
      <x:c r="K337" s="11" t="n">
        <x:f>H337*I337*(1-J337)</x:f>
        <x:v>820</x:v>
      </x:c>
      <x:c r="L337" s="11" t="n">
        <x:f>H337*(I337*0.62)</x:f>
        <x:v>508.4</x:v>
      </x:c>
      <x:c r="M337" s="11" t="n">
        <x:f>K337-L337</x:f>
        <x:v>311.6</x:v>
      </x:c>
      <x:c r="N337" s="8" t="str">
        <x:v>Partner</x:v>
      </x:c>
      <x:c r="O337" s="8" t="str">
        <x:v>Credit Card</x:v>
      </x:c>
      <x:c r="P337" s="8" t="str">
        <x:v>Closed Won</x:v>
      </x:c>
    </x:row>
    <x:row r="338">
      <x:c r="A338" s="8" t="str">
        <x:v>ORD-2025337</x:v>
      </x:c>
      <x:c r="B338" s="9" t="n">
        <x:v>45740</x:v>
      </x:c>
      <x:c r="C338" s="8" t="str">
        <x:v>North</x:v>
      </x:c>
      <x:c r="D338" s="8" t="str">
        <x:v>Mason Lee</x:v>
      </x:c>
      <x:c r="E338" s="8" t="str">
        <x:v>BlueSky Group</x:v>
      </x:c>
      <x:c r="F338" s="8" t="str">
        <x:v>Hardware</x:v>
      </x:c>
      <x:c r="G338" s="8" t="str">
        <x:v>Monitor 27</x:v>
      </x:c>
      <x:c r="H338" s="10" t="n">
        <x:v>11</x:v>
      </x:c>
      <x:c r="I338" s="11" t="n">
        <x:v>320</x:v>
      </x:c>
      <x:c r="J338" s="12" t="n">
        <x:v>0.1</x:v>
      </x:c>
      <x:c r="K338" s="11" t="n">
        <x:f>H338*I338*(1-J338)</x:f>
        <x:v>3168</x:v>
      </x:c>
      <x:c r="L338" s="11" t="n">
        <x:f>H338*(I338*0.62)</x:f>
        <x:v>2182.4</x:v>
      </x:c>
      <x:c r="M338" s="11" t="n">
        <x:f>K338-L338</x:f>
        <x:v>985.5999999999999</x:v>
      </x:c>
      <x:c r="N338" s="8" t="str">
        <x:v>Online</x:v>
      </x:c>
      <x:c r="O338" s="8" t="str">
        <x:v>PayPal</x:v>
      </x:c>
      <x:c r="P338" s="8" t="str">
        <x:v>Shipped</x:v>
      </x:c>
    </x:row>
    <x:row r="339">
      <x:c r="A339" s="8" t="str">
        <x:v>ORD-2025338</x:v>
      </x:c>
      <x:c r="B339" s="9" t="n">
        <x:v>45968</x:v>
      </x:c>
      <x:c r="C339" s="8" t="str">
        <x:v>West</x:v>
      </x:c>
      <x:c r="D339" s="8" t="str">
        <x:v>Noah Davis</x:v>
      </x:c>
      <x:c r="E339" s="8" t="str">
        <x:v>Summit Co</x:v>
      </x:c>
      <x:c r="F339" s="8" t="str">
        <x:v>Accessories</x:v>
      </x:c>
      <x:c r="G339" s="8" t="str">
        <x:v>Keyboard Pro</x:v>
      </x:c>
      <x:c r="H339" s="10" t="n">
        <x:v>4</x:v>
      </x:c>
      <x:c r="I339" s="11" t="n">
        <x:v>95</x:v>
      </x:c>
      <x:c r="J339" s="12" t="n">
        <x:v>0</x:v>
      </x:c>
      <x:c r="K339" s="11" t="n">
        <x:f>H339*I339*(1-J339)</x:f>
        <x:v>380</x:v>
      </x:c>
      <x:c r="L339" s="11" t="n">
        <x:f>H339*(I339*0.62)</x:f>
        <x:v>235.6</x:v>
      </x:c>
      <x:c r="M339" s="11" t="n">
        <x:f>K339-L339</x:f>
        <x:v>144.4</x:v>
      </x:c>
      <x:c r="N339" s="8" t="str">
        <x:v>Direct</x:v>
      </x:c>
      <x:c r="O339" s="8" t="str">
        <x:v>Bank Transfer</x:v>
      </x:c>
      <x:c r="P339" s="8" t="str">
        <x:v>Closed Won</x:v>
      </x:c>
    </x:row>
    <x:row r="340">
      <x:c r="A340" s="8" t="str">
        <x:v>ORD-2025339</x:v>
      </x:c>
      <x:c r="B340" s="9" t="n">
        <x:v>45810</x:v>
      </x:c>
      <x:c r="C340" s="8" t="str">
        <x:v>South</x:v>
      </x:c>
      <x:c r="D340" s="8" t="str">
        <x:v>Liam Chen</x:v>
      </x:c>
      <x:c r="E340" s="8" t="str">
        <x:v>Summit Co</x:v>
      </x:c>
      <x:c r="F340" s="8" t="str">
        <x:v>Services</x:v>
      </x:c>
      <x:c r="G340" s="8" t="str">
        <x:v>Support Plus</x:v>
      </x:c>
      <x:c r="H340" s="10" t="n">
        <x:v>13</x:v>
      </x:c>
      <x:c r="I340" s="11" t="n">
        <x:v>650</x:v>
      </x:c>
      <x:c r="J340" s="12" t="n">
        <x:v>0.1</x:v>
      </x:c>
      <x:c r="K340" s="11" t="n">
        <x:f>H340*I340*(1-J340)</x:f>
        <x:v>7605</x:v>
      </x:c>
      <x:c r="L340" s="11" t="n">
        <x:f>H340*(I340*0.62)</x:f>
        <x:v>5239</x:v>
      </x:c>
      <x:c r="M340" s="11" t="n">
        <x:f>K340-L340</x:f>
        <x:v>2366</x:v>
      </x:c>
      <x:c r="N340" s="8" t="str">
        <x:v>Online</x:v>
      </x:c>
      <x:c r="O340" s="8" t="str">
        <x:v>PayPal</x:v>
      </x:c>
      <x:c r="P340" s="8" t="str">
        <x:v>Closed Won</x:v>
      </x:c>
    </x:row>
    <x:row r="341">
      <x:c r="A341" s="8" t="str">
        <x:v>ORD-2025340</x:v>
      </x:c>
      <x:c r="B341" s="9" t="n">
        <x:v>45876</x:v>
      </x:c>
      <x:c r="C341" s="8" t="str">
        <x:v>North</x:v>
      </x:c>
      <x:c r="D341" s="8" t="str">
        <x:v>Ethan Garcia</x:v>
      </x:c>
      <x:c r="E341" s="8" t="str">
        <x:v>Nova LLC</x:v>
      </x:c>
      <x:c r="F341" s="8" t="str">
        <x:v>Services</x:v>
      </x:c>
      <x:c r="G341" s="8" t="str">
        <x:v>Implementation</x:v>
      </x:c>
      <x:c r="H341" s="10" t="n">
        <x:v>16</x:v>
      </x:c>
      <x:c r="I341" s="11" t="n">
        <x:v>2500</x:v>
      </x:c>
      <x:c r="J341" s="12" t="n">
        <x:v>0</x:v>
      </x:c>
      <x:c r="K341" s="11" t="n">
        <x:f>H341*I341*(1-J341)</x:f>
        <x:v>40000</x:v>
      </x:c>
      <x:c r="L341" s="11" t="n">
        <x:f>H341*(I341*0.62)</x:f>
        <x:v>24800</x:v>
      </x:c>
      <x:c r="M341" s="11" t="n">
        <x:f>K341-L341</x:f>
        <x:v>15200</x:v>
      </x:c>
      <x:c r="N341" s="8" t="str">
        <x:v>Direct</x:v>
      </x:c>
      <x:c r="O341" s="8" t="str">
        <x:v>Credit Card</x:v>
      </x:c>
      <x:c r="P341" s="8" t="str">
        <x:v>Closed Won</x:v>
      </x:c>
    </x:row>
    <x:row r="342">
      <x:c r="A342" s="8" t="str">
        <x:v>ORD-2025341</x:v>
      </x:c>
      <x:c r="B342" s="9" t="n">
        <x:v>45900</x:v>
      </x:c>
      <x:c r="C342" s="8" t="str">
        <x:v>North</x:v>
      </x:c>
      <x:c r="D342" s="8" t="str">
        <x:v>Ethan Garcia</x:v>
      </x:c>
      <x:c r="E342" s="8" t="str">
        <x:v>SilverLine Co</x:v>
      </x:c>
      <x:c r="F342" s="8" t="str">
        <x:v>Services</x:v>
      </x:c>
      <x:c r="G342" s="8" t="str">
        <x:v>Implementation</x:v>
      </x:c>
      <x:c r="H342" s="10" t="n">
        <x:v>16</x:v>
      </x:c>
      <x:c r="I342" s="11" t="n">
        <x:v>2500</x:v>
      </x:c>
      <x:c r="J342" s="12" t="n">
        <x:v>0.05</x:v>
      </x:c>
      <x:c r="K342" s="11" t="n">
        <x:f>H342*I342*(1-J342)</x:f>
        <x:v>38000</x:v>
      </x:c>
      <x:c r="L342" s="11" t="n">
        <x:f>H342*(I342*0.62)</x:f>
        <x:v>24800</x:v>
      </x:c>
      <x:c r="M342" s="11" t="n">
        <x:f>K342-L342</x:f>
        <x:v>13200</x:v>
      </x:c>
      <x:c r="N342" s="8" t="str">
        <x:v>Online</x:v>
      </x:c>
      <x:c r="O342" s="8" t="str">
        <x:v>Invoice</x:v>
      </x:c>
      <x:c r="P342" s="8" t="str">
        <x:v>Closed Won</x:v>
      </x:c>
    </x:row>
    <x:row r="343">
      <x:c r="A343" s="8" t="str">
        <x:v>ORD-2025342</x:v>
      </x:c>
      <x:c r="B343" s="9" t="n">
        <x:v>45847</x:v>
      </x:c>
      <x:c r="C343" s="8" t="str">
        <x:v>West</x:v>
      </x:c>
      <x:c r="D343" s="8" t="str">
        <x:v>Sophia Kim</x:v>
      </x:c>
      <x:c r="E343" s="8" t="str">
        <x:v>GreenLeaf Group</x:v>
      </x:c>
      <x:c r="F343" s="8" t="str">
        <x:v>Accessories</x:v>
      </x:c>
      <x:c r="G343" s="8" t="str">
        <x:v>Keyboard Pro</x:v>
      </x:c>
      <x:c r="H343" s="10" t="n">
        <x:v>15</x:v>
      </x:c>
      <x:c r="I343" s="11" t="n">
        <x:v>95</x:v>
      </x:c>
      <x:c r="J343" s="12" t="n">
        <x:v>0</x:v>
      </x:c>
      <x:c r="K343" s="11" t="n">
        <x:f>H343*I343*(1-J343)</x:f>
        <x:v>1425</x:v>
      </x:c>
      <x:c r="L343" s="11" t="n">
        <x:f>H343*(I343*0.62)</x:f>
        <x:v>883.5</x:v>
      </x:c>
      <x:c r="M343" s="11" t="n">
        <x:f>K343-L343</x:f>
        <x:v>541.5</x:v>
      </x:c>
      <x:c r="N343" s="8" t="str">
        <x:v>Partner</x:v>
      </x:c>
      <x:c r="O343" s="8" t="str">
        <x:v>PayPal</x:v>
      </x:c>
      <x:c r="P343" s="8" t="str">
        <x:v>Pending</x:v>
      </x:c>
    </x:row>
    <x:row r="344">
      <x:c r="A344" s="8" t="str">
        <x:v>ORD-2025343</x:v>
      </x:c>
      <x:c r="B344" s="9" t="n">
        <x:v>45946</x:v>
      </x:c>
      <x:c r="C344" s="8" t="str">
        <x:v>North</x:v>
      </x:c>
      <x:c r="D344" s="8" t="str">
        <x:v>Noah Davis</x:v>
      </x:c>
      <x:c r="E344" s="8" t="str">
        <x:v>Pioneer LLC</x:v>
      </x:c>
      <x:c r="F344" s="8" t="str">
        <x:v>Hardware</x:v>
      </x:c>
      <x:c r="G344" s="8" t="str">
        <x:v>Dock Station</x:v>
      </x:c>
      <x:c r="H344" s="10" t="n">
        <x:v>3</x:v>
      </x:c>
      <x:c r="I344" s="11" t="n">
        <x:v>180</x:v>
      </x:c>
      <x:c r="J344" s="12" t="n">
        <x:v>0.15</x:v>
      </x:c>
      <x:c r="K344" s="11" t="n">
        <x:f>H344*I344*(1-J344)</x:f>
        <x:v>459</x:v>
      </x:c>
      <x:c r="L344" s="11" t="n">
        <x:f>H344*(I344*0.62)</x:f>
        <x:v>334.79999999999995</x:v>
      </x:c>
      <x:c r="M344" s="11" t="n">
        <x:f>K344-L344</x:f>
        <x:v>124.20000000000005</x:v>
      </x:c>
      <x:c r="N344" s="8" t="str">
        <x:v>Partner</x:v>
      </x:c>
      <x:c r="O344" s="8" t="str">
        <x:v>PayPal</x:v>
      </x:c>
      <x:c r="P344" s="8" t="str">
        <x:v>Cancelled</x:v>
      </x:c>
    </x:row>
    <x:row r="345">
      <x:c r="A345" s="8" t="str">
        <x:v>ORD-2025344</x:v>
      </x:c>
      <x:c r="B345" s="9" t="n">
        <x:v>45856</x:v>
      </x:c>
      <x:c r="C345" s="8" t="str">
        <x:v>Central</x:v>
      </x:c>
      <x:c r="D345" s="8" t="str">
        <x:v>Lucas Brown</x:v>
      </x:c>
      <x:c r="E345" s="8" t="str">
        <x:v>Maple LLC</x:v>
      </x:c>
      <x:c r="F345" s="8" t="str">
        <x:v>Hardware</x:v>
      </x:c>
      <x:c r="G345" s="8" t="str">
        <x:v>Laptop X</x:v>
      </x:c>
      <x:c r="H345" s="10" t="n">
        <x:v>22</x:v>
      </x:c>
      <x:c r="I345" s="11" t="n">
        <x:v>1500</x:v>
      </x:c>
      <x:c r="J345" s="12" t="n">
        <x:v>0.2</x:v>
      </x:c>
      <x:c r="K345" s="11" t="n">
        <x:f>H345*I345*(1-J345)</x:f>
        <x:v>26400</x:v>
      </x:c>
      <x:c r="L345" s="11" t="n">
        <x:f>H345*(I345*0.62)</x:f>
        <x:v>20460</x:v>
      </x:c>
      <x:c r="M345" s="11" t="n">
        <x:f>K345-L345</x:f>
        <x:v>5940</x:v>
      </x:c>
      <x:c r="N345" s="8" t="str">
        <x:v>Partner</x:v>
      </x:c>
      <x:c r="O345" s="8" t="str">
        <x:v>Bank Transfer</x:v>
      </x:c>
      <x:c r="P345" s="8" t="str">
        <x:v>Pending</x:v>
      </x:c>
    </x:row>
    <x:row r="346">
      <x:c r="A346" s="8" t="str">
        <x:v>ORD-2025345</x:v>
      </x:c>
      <x:c r="B346" s="9" t="n">
        <x:v>45675</x:v>
      </x:c>
      <x:c r="C346" s="8" t="str">
        <x:v>Central</x:v>
      </x:c>
      <x:c r="D346" s="8" t="str">
        <x:v>Emma Martin</x:v>
      </x:c>
      <x:c r="E346" s="8" t="str">
        <x:v>Southridge Co</x:v>
      </x:c>
      <x:c r="F346" s="8" t="str">
        <x:v>Software</x:v>
      </x:c>
      <x:c r="G346" s="8" t="str">
        <x:v>ProjectFlow</x:v>
      </x:c>
      <x:c r="H346" s="10" t="n">
        <x:v>19</x:v>
      </x:c>
      <x:c r="I346" s="11" t="n">
        <x:v>700</x:v>
      </x:c>
      <x:c r="J346" s="12" t="n">
        <x:v>0.15</x:v>
      </x:c>
      <x:c r="K346" s="11" t="n">
        <x:f>H346*I346*(1-J346)</x:f>
        <x:v>11305</x:v>
      </x:c>
      <x:c r="L346" s="11" t="n">
        <x:f>H346*(I346*0.62)</x:f>
        <x:v>8246</x:v>
      </x:c>
      <x:c r="M346" s="11" t="n">
        <x:f>K346-L346</x:f>
        <x:v>3059</x:v>
      </x:c>
      <x:c r="N346" s="8" t="str">
        <x:v>Online</x:v>
      </x:c>
      <x:c r="O346" s="8" t="str">
        <x:v>Bank Transfer</x:v>
      </x:c>
      <x:c r="P346" s="8" t="str">
        <x:v>Closed Won</x:v>
      </x:c>
    </x:row>
    <x:row r="347">
      <x:c r="A347" s="8" t="str">
        <x:v>ORD-2025346</x:v>
      </x:c>
      <x:c r="B347" s="9" t="n">
        <x:v>45743</x:v>
      </x:c>
      <x:c r="C347" s="8" t="str">
        <x:v>South</x:v>
      </x:c>
      <x:c r="D347" s="8" t="str">
        <x:v>Mia Johnson</x:v>
      </x:c>
      <x:c r="E347" s="8" t="str">
        <x:v>Urban LLC</x:v>
      </x:c>
      <x:c r="F347" s="8" t="str">
        <x:v>Accessories</x:v>
      </x:c>
      <x:c r="G347" s="8" t="str">
        <x:v>Keyboard Pro</x:v>
      </x:c>
      <x:c r="H347" s="10" t="n">
        <x:v>2</x:v>
      </x:c>
      <x:c r="I347" s="11" t="n">
        <x:v>95</x:v>
      </x:c>
      <x:c r="J347" s="12" t="n">
        <x:v>0.05</x:v>
      </x:c>
      <x:c r="K347" s="11" t="n">
        <x:f>H347*I347*(1-J347)</x:f>
        <x:v>180.5</x:v>
      </x:c>
      <x:c r="L347" s="11" t="n">
        <x:f>H347*(I347*0.62)</x:f>
        <x:v>117.8</x:v>
      </x:c>
      <x:c r="M347" s="11" t="n">
        <x:f>K347-L347</x:f>
        <x:v>62.7</x:v>
      </x:c>
      <x:c r="N347" s="8" t="str">
        <x:v>Direct</x:v>
      </x:c>
      <x:c r="O347" s="8" t="str">
        <x:v>PayPal</x:v>
      </x:c>
      <x:c r="P347" s="8" t="str">
        <x:v>Closed Won</x:v>
      </x:c>
    </x:row>
    <x:row r="348">
      <x:c r="A348" s="8" t="str">
        <x:v>ORD-2025347</x:v>
      </x:c>
      <x:c r="B348" s="9" t="n">
        <x:v>45821</x:v>
      </x:c>
      <x:c r="C348" s="8" t="str">
        <x:v>North</x:v>
      </x:c>
      <x:c r="D348" s="8" t="str">
        <x:v>Liam Chen</x:v>
      </x:c>
      <x:c r="E348" s="8" t="str">
        <x:v>SilverLine Inc</x:v>
      </x:c>
      <x:c r="F348" s="8" t="str">
        <x:v>Hardware</x:v>
      </x:c>
      <x:c r="G348" s="8" t="str">
        <x:v>Dock Station</x:v>
      </x:c>
      <x:c r="H348" s="10" t="n">
        <x:v>18</x:v>
      </x:c>
      <x:c r="I348" s="11" t="n">
        <x:v>180</x:v>
      </x:c>
      <x:c r="J348" s="12" t="n">
        <x:v>0.05</x:v>
      </x:c>
      <x:c r="K348" s="11" t="n">
        <x:f>H348*I348*(1-J348)</x:f>
        <x:v>3078</x:v>
      </x:c>
      <x:c r="L348" s="11" t="n">
        <x:f>H348*(I348*0.62)</x:f>
        <x:v>2008.8</x:v>
      </x:c>
      <x:c r="M348" s="11" t="n">
        <x:f>K348-L348</x:f>
        <x:v>1069.2</x:v>
      </x:c>
      <x:c r="N348" s="8" t="str">
        <x:v>Online</x:v>
      </x:c>
      <x:c r="O348" s="8" t="str">
        <x:v>Invoice</x:v>
      </x:c>
      <x:c r="P348" s="8" t="str">
        <x:v>Returned</x:v>
      </x:c>
    </x:row>
    <x:row r="349">
      <x:c r="A349" s="8" t="str">
        <x:v>ORD-2025348</x:v>
      </x:c>
      <x:c r="B349" s="9" t="n">
        <x:v>46016</x:v>
      </x:c>
      <x:c r="C349" s="8" t="str">
        <x:v>Central</x:v>
      </x:c>
      <x:c r="D349" s="8" t="str">
        <x:v>Emma Martin</x:v>
      </x:c>
      <x:c r="E349" s="8" t="str">
        <x:v>Southridge Co</x:v>
      </x:c>
      <x:c r="F349" s="8" t="str">
        <x:v>Accessories</x:v>
      </x:c>
      <x:c r="G349" s="8" t="str">
        <x:v>Wireless Mouse</x:v>
      </x:c>
      <x:c r="H349" s="10" t="n">
        <x:v>14</x:v>
      </x:c>
      <x:c r="I349" s="11" t="n">
        <x:v>40</x:v>
      </x:c>
      <x:c r="J349" s="12" t="n">
        <x:v>0</x:v>
      </x:c>
      <x:c r="K349" s="11" t="n">
        <x:f>H349*I349*(1-J349)</x:f>
        <x:v>560</x:v>
      </x:c>
      <x:c r="L349" s="11" t="n">
        <x:f>H349*(I349*0.62)</x:f>
        <x:v>347.2</x:v>
      </x:c>
      <x:c r="M349" s="11" t="n">
        <x:f>K349-L349</x:f>
        <x:v>212.8</x:v>
      </x:c>
      <x:c r="N349" s="8" t="str">
        <x:v>Partner</x:v>
      </x:c>
      <x:c r="O349" s="8" t="str">
        <x:v>Bank Transfer</x:v>
      </x:c>
      <x:c r="P349" s="8" t="str">
        <x:v>Closed Won</x:v>
      </x:c>
    </x:row>
    <x:row r="350">
      <x:c r="A350" s="8" t="str">
        <x:v>ORD-2025349</x:v>
      </x:c>
      <x:c r="B350" s="9" t="n">
        <x:v>45946</x:v>
      </x:c>
      <x:c r="C350" s="8" t="str">
        <x:v>North</x:v>
      </x:c>
      <x:c r="D350" s="8" t="str">
        <x:v>Ethan Garcia</x:v>
      </x:c>
      <x:c r="E350" s="8" t="str">
        <x:v>Maple LLC</x:v>
      </x:c>
      <x:c r="F350" s="8" t="str">
        <x:v>Software</x:v>
      </x:c>
      <x:c r="G350" s="8" t="str">
        <x:v>CRM Pro</x:v>
      </x:c>
      <x:c r="H350" s="10" t="n">
        <x:v>12</x:v>
      </x:c>
      <x:c r="I350" s="11" t="n">
        <x:v>1200</x:v>
      </x:c>
      <x:c r="J350" s="12" t="n">
        <x:v>0.05</x:v>
      </x:c>
      <x:c r="K350" s="11" t="n">
        <x:f>H350*I350*(1-J350)</x:f>
        <x:v>13680</x:v>
      </x:c>
      <x:c r="L350" s="11" t="n">
        <x:f>H350*(I350*0.62)</x:f>
        <x:v>8928</x:v>
      </x:c>
      <x:c r="M350" s="11" t="n">
        <x:f>K350-L350</x:f>
        <x:v>4752</x:v>
      </x:c>
      <x:c r="N350" s="8" t="str">
        <x:v>Partner</x:v>
      </x:c>
      <x:c r="O350" s="8" t="str">
        <x:v>PayPal</x:v>
      </x:c>
      <x:c r="P350" s="8" t="str">
        <x:v>Shipped</x:v>
      </x:c>
    </x:row>
    <x:row r="351">
      <x:c r="A351" s="8" t="str">
        <x:v>ORD-2025350</x:v>
      </x:c>
      <x:c r="B351" s="9" t="n">
        <x:v>45746</x:v>
      </x:c>
      <x:c r="C351" s="8" t="str">
        <x:v>East</x:v>
      </x:c>
      <x:c r="D351" s="8" t="str">
        <x:v>Lucas Brown</x:v>
      </x:c>
      <x:c r="E351" s="8" t="str">
        <x:v>Urban Co</x:v>
      </x:c>
      <x:c r="F351" s="8" t="str">
        <x:v>Accessories</x:v>
      </x:c>
      <x:c r="G351" s="8" t="str">
        <x:v>Wireless Mouse</x:v>
      </x:c>
      <x:c r="H351" s="10" t="n">
        <x:v>20</x:v>
      </x:c>
      <x:c r="I351" s="11" t="n">
        <x:v>40</x:v>
      </x:c>
      <x:c r="J351" s="12" t="n">
        <x:v>0.1</x:v>
      </x:c>
      <x:c r="K351" s="11" t="n">
        <x:f>H351*I351*(1-J351)</x:f>
        <x:v>720</x:v>
      </x:c>
      <x:c r="L351" s="11" t="n">
        <x:f>H351*(I351*0.62)</x:f>
        <x:v>496</x:v>
      </x:c>
      <x:c r="M351" s="11" t="n">
        <x:f>K351-L351</x:f>
        <x:v>224</x:v>
      </x:c>
      <x:c r="N351" s="8" t="str">
        <x:v>Online</x:v>
      </x:c>
      <x:c r="O351" s="8" t="str">
        <x:v>PayPal</x:v>
      </x:c>
      <x:c r="P351" s="8" t="str">
        <x:v>Closed Won</x:v>
      </x:c>
    </x:row>
    <x:row r="352">
      <x:c r="A352" s="8" t="str">
        <x:v>ORD-2025351</x:v>
      </x:c>
      <x:c r="B352" s="9" t="n">
        <x:v>45683</x:v>
      </x:c>
      <x:c r="C352" s="8" t="str">
        <x:v>West</x:v>
      </x:c>
      <x:c r="D352" s="8" t="str">
        <x:v>Ethan Garcia</x:v>
      </x:c>
      <x:c r="E352" s="8" t="str">
        <x:v>Harbor Group</x:v>
      </x:c>
      <x:c r="F352" s="8" t="str">
        <x:v>Services</x:v>
      </x:c>
      <x:c r="G352" s="8" t="str">
        <x:v>Training</x:v>
      </x:c>
      <x:c r="H352" s="10" t="n">
        <x:v>1</x:v>
      </x:c>
      <x:c r="I352" s="11" t="n">
        <x:v>900</x:v>
      </x:c>
      <x:c r="J352" s="12" t="n">
        <x:v>0</x:v>
      </x:c>
      <x:c r="K352" s="11" t="n">
        <x:f>H352*I352*(1-J352)</x:f>
        <x:v>900</x:v>
      </x:c>
      <x:c r="L352" s="11" t="n">
        <x:f>H352*(I352*0.62)</x:f>
        <x:v>558</x:v>
      </x:c>
      <x:c r="M352" s="11" t="n">
        <x:f>K352-L352</x:f>
        <x:v>342</x:v>
      </x:c>
      <x:c r="N352" s="8" t="str">
        <x:v>Partner</x:v>
      </x:c>
      <x:c r="O352" s="8" t="str">
        <x:v>Invoice</x:v>
      </x:c>
      <x:c r="P352" s="8" t="str">
        <x:v>Closed Won</x:v>
      </x:c>
    </x:row>
    <x:row r="353">
      <x:c r="A353" s="8" t="str">
        <x:v>ORD-2025352</x:v>
      </x:c>
      <x:c r="B353" s="9" t="n">
        <x:v>45774</x:v>
      </x:c>
      <x:c r="C353" s="8" t="str">
        <x:v>South</x:v>
      </x:c>
      <x:c r="D353" s="8" t="str">
        <x:v>Ethan Garcia</x:v>
      </x:c>
      <x:c r="E353" s="8" t="str">
        <x:v>GoldenGate LLC</x:v>
      </x:c>
      <x:c r="F353" s="8" t="str">
        <x:v>Accessories</x:v>
      </x:c>
      <x:c r="G353" s="8" t="str">
        <x:v>Wireless Mouse</x:v>
      </x:c>
      <x:c r="H353" s="10" t="n">
        <x:v>25</x:v>
      </x:c>
      <x:c r="I353" s="11" t="n">
        <x:v>40</x:v>
      </x:c>
      <x:c r="J353" s="12" t="n">
        <x:v>0.2</x:v>
      </x:c>
      <x:c r="K353" s="11" t="n">
        <x:f>H353*I353*(1-J353)</x:f>
        <x:v>800</x:v>
      </x:c>
      <x:c r="L353" s="11" t="n">
        <x:f>H353*(I353*0.62)</x:f>
        <x:v>620</x:v>
      </x:c>
      <x:c r="M353" s="11" t="n">
        <x:f>K353-L353</x:f>
        <x:v>180</x:v>
      </x:c>
      <x:c r="N353" s="8" t="str">
        <x:v>Partner</x:v>
      </x:c>
      <x:c r="O353" s="8" t="str">
        <x:v>Invoice</x:v>
      </x:c>
      <x:c r="P353" s="8" t="str">
        <x:v>Shipped</x:v>
      </x:c>
    </x:row>
    <x:row r="354">
      <x:c r="A354" s="8" t="str">
        <x:v>ORD-2025353</x:v>
      </x:c>
      <x:c r="B354" s="9" t="n">
        <x:v>45884</x:v>
      </x:c>
      <x:c r="C354" s="8" t="str">
        <x:v>South</x:v>
      </x:c>
      <x:c r="D354" s="8" t="str">
        <x:v>Lucas Brown</x:v>
      </x:c>
      <x:c r="E354" s="8" t="str">
        <x:v>NorthStar Co</x:v>
      </x:c>
      <x:c r="F354" s="8" t="str">
        <x:v>Software</x:v>
      </x:c>
      <x:c r="G354" s="8" t="str">
        <x:v>Analytics Cloud</x:v>
      </x:c>
      <x:c r="H354" s="10" t="n">
        <x:v>25</x:v>
      </x:c>
      <x:c r="I354" s="11" t="n">
        <x:v>1800</x:v>
      </x:c>
      <x:c r="J354" s="12" t="n">
        <x:v>0.1</x:v>
      </x:c>
      <x:c r="K354" s="11" t="n">
        <x:f>H354*I354*(1-J354)</x:f>
        <x:v>40500</x:v>
      </x:c>
      <x:c r="L354" s="11" t="n">
        <x:f>H354*(I354*0.62)</x:f>
        <x:v>27900</x:v>
      </x:c>
      <x:c r="M354" s="11" t="n">
        <x:f>K354-L354</x:f>
        <x:v>12600</x:v>
      </x:c>
      <x:c r="N354" s="8" t="str">
        <x:v>Partner</x:v>
      </x:c>
      <x:c r="O354" s="8" t="str">
        <x:v>Credit Card</x:v>
      </x:c>
      <x:c r="P354" s="8" t="str">
        <x:v>Pending</x:v>
      </x:c>
    </x:row>
    <x:row r="355">
      <x:c r="A355" s="8" t="str">
        <x:v>ORD-2025354</x:v>
      </x:c>
      <x:c r="B355" s="9" t="n">
        <x:v>45817</x:v>
      </x:c>
      <x:c r="C355" s="8" t="str">
        <x:v>Central</x:v>
      </x:c>
      <x:c r="D355" s="8" t="str">
        <x:v>Lucas Brown</x:v>
      </x:c>
      <x:c r="E355" s="8" t="str">
        <x:v>Urban Inc</x:v>
      </x:c>
      <x:c r="F355" s="8" t="str">
        <x:v>Hardware</x:v>
      </x:c>
      <x:c r="G355" s="8" t="str">
        <x:v>Laptop X</x:v>
      </x:c>
      <x:c r="H355" s="10" t="n">
        <x:v>25</x:v>
      </x:c>
      <x:c r="I355" s="11" t="n">
        <x:v>1500</x:v>
      </x:c>
      <x:c r="J355" s="12" t="n">
        <x:v>0.2</x:v>
      </x:c>
      <x:c r="K355" s="11" t="n">
        <x:f>H355*I355*(1-J355)</x:f>
        <x:v>30000</x:v>
      </x:c>
      <x:c r="L355" s="11" t="n">
        <x:f>H355*(I355*0.62)</x:f>
        <x:v>23250</x:v>
      </x:c>
      <x:c r="M355" s="11" t="n">
        <x:f>K355-L355</x:f>
        <x:v>6750</x:v>
      </x:c>
      <x:c r="N355" s="8" t="str">
        <x:v>Online</x:v>
      </x:c>
      <x:c r="O355" s="8" t="str">
        <x:v>Credit Card</x:v>
      </x:c>
      <x:c r="P355" s="8" t="str">
        <x:v>Closed Won</x:v>
      </x:c>
    </x:row>
    <x:row r="356">
      <x:c r="A356" s="8" t="str">
        <x:v>ORD-2025355</x:v>
      </x:c>
      <x:c r="B356" s="9" t="n">
        <x:v>45785</x:v>
      </x:c>
      <x:c r="C356" s="8" t="str">
        <x:v>North</x:v>
      </x:c>
      <x:c r="D356" s="8" t="str">
        <x:v>Olivia Wilson</x:v>
      </x:c>
      <x:c r="E356" s="8" t="str">
        <x:v>Summit Co</x:v>
      </x:c>
      <x:c r="F356" s="8" t="str">
        <x:v>Hardware</x:v>
      </x:c>
      <x:c r="G356" s="8" t="str">
        <x:v>Laptop X</x:v>
      </x:c>
      <x:c r="H356" s="10" t="n">
        <x:v>12</x:v>
      </x:c>
      <x:c r="I356" s="11" t="n">
        <x:v>1500</x:v>
      </x:c>
      <x:c r="J356" s="12" t="n">
        <x:v>0.15</x:v>
      </x:c>
      <x:c r="K356" s="11" t="n">
        <x:f>H356*I356*(1-J356)</x:f>
        <x:v>15300</x:v>
      </x:c>
      <x:c r="L356" s="11" t="n">
        <x:f>H356*(I356*0.62)</x:f>
        <x:v>11160</x:v>
      </x:c>
      <x:c r="M356" s="11" t="n">
        <x:f>K356-L356</x:f>
        <x:v>4140</x:v>
      </x:c>
      <x:c r="N356" s="8" t="str">
        <x:v>Direct</x:v>
      </x:c>
      <x:c r="O356" s="8" t="str">
        <x:v>Invoice</x:v>
      </x:c>
      <x:c r="P356" s="8" t="str">
        <x:v>Closed Won</x:v>
      </x:c>
    </x:row>
    <x:row r="357">
      <x:c r="A357" s="8" t="str">
        <x:v>ORD-2025356</x:v>
      </x:c>
      <x:c r="B357" s="9" t="n">
        <x:v>45983</x:v>
      </x:c>
      <x:c r="C357" s="8" t="str">
        <x:v>North</x:v>
      </x:c>
      <x:c r="D357" s="8" t="str">
        <x:v>Ava Patel</x:v>
      </x:c>
      <x:c r="E357" s="8" t="str">
        <x:v>Cedar Co</x:v>
      </x:c>
      <x:c r="F357" s="8" t="str">
        <x:v>Accessories</x:v>
      </x:c>
      <x:c r="G357" s="8" t="str">
        <x:v>Headset</x:v>
      </x:c>
      <x:c r="H357" s="10" t="n">
        <x:v>12</x:v>
      </x:c>
      <x:c r="I357" s="11" t="n">
        <x:v>85</x:v>
      </x:c>
      <x:c r="J357" s="12" t="n">
        <x:v>0.05</x:v>
      </x:c>
      <x:c r="K357" s="11" t="n">
        <x:f>H357*I357*(1-J357)</x:f>
        <x:v>969</x:v>
      </x:c>
      <x:c r="L357" s="11" t="n">
        <x:f>H357*(I357*0.62)</x:f>
        <x:v>632.4000000000001</x:v>
      </x:c>
      <x:c r="M357" s="11" t="n">
        <x:f>K357-L357</x:f>
        <x:v>336.5999999999999</x:v>
      </x:c>
      <x:c r="N357" s="8" t="str">
        <x:v>Online</x:v>
      </x:c>
      <x:c r="O357" s="8" t="str">
        <x:v>PayPal</x:v>
      </x:c>
      <x:c r="P357" s="8" t="str">
        <x:v>Closed Won</x:v>
      </x:c>
    </x:row>
    <x:row r="358">
      <x:c r="A358" s="8" t="str">
        <x:v>ORD-2025357</x:v>
      </x:c>
      <x:c r="B358" s="9" t="n">
        <x:v>45834</x:v>
      </x:c>
      <x:c r="C358" s="8" t="str">
        <x:v>South</x:v>
      </x:c>
      <x:c r="D358" s="8" t="str">
        <x:v>Ethan Garcia</x:v>
      </x:c>
      <x:c r="E358" s="8" t="str">
        <x:v>BlueSky Group</x:v>
      </x:c>
      <x:c r="F358" s="8" t="str">
        <x:v>Accessories</x:v>
      </x:c>
      <x:c r="G358" s="8" t="str">
        <x:v>Webcam HD</x:v>
      </x:c>
      <x:c r="H358" s="10" t="n">
        <x:v>10</x:v>
      </x:c>
      <x:c r="I358" s="11" t="n">
        <x:v>110</x:v>
      </x:c>
      <x:c r="J358" s="12" t="n">
        <x:v>0</x:v>
      </x:c>
      <x:c r="K358" s="11" t="n">
        <x:f>H358*I358*(1-J358)</x:f>
        <x:v>1100</x:v>
      </x:c>
      <x:c r="L358" s="11" t="n">
        <x:f>H358*(I358*0.62)</x:f>
        <x:v>682</x:v>
      </x:c>
      <x:c r="M358" s="11" t="n">
        <x:f>K358-L358</x:f>
        <x:v>418</x:v>
      </x:c>
      <x:c r="N358" s="8" t="str">
        <x:v>Partner</x:v>
      </x:c>
      <x:c r="O358" s="8" t="str">
        <x:v>Credit Card</x:v>
      </x:c>
      <x:c r="P358" s="8" t="str">
        <x:v>Closed Won</x:v>
      </x:c>
    </x:row>
    <x:row r="359">
      <x:c r="A359" s="8" t="str">
        <x:v>ORD-2025358</x:v>
      </x:c>
      <x:c r="B359" s="9" t="n">
        <x:v>45989</x:v>
      </x:c>
      <x:c r="C359" s="8" t="str">
        <x:v>South</x:v>
      </x:c>
      <x:c r="D359" s="8" t="str">
        <x:v>Mia Johnson</x:v>
      </x:c>
      <x:c r="E359" s="8" t="str">
        <x:v>Prime Co</x:v>
      </x:c>
      <x:c r="F359" s="8" t="str">
        <x:v>Hardware</x:v>
      </x:c>
      <x:c r="G359" s="8" t="str">
        <x:v>Tablet Air</x:v>
      </x:c>
      <x:c r="H359" s="10" t="n">
        <x:v>21</x:v>
      </x:c>
      <x:c r="I359" s="11" t="n">
        <x:v>820</x:v>
      </x:c>
      <x:c r="J359" s="12" t="n">
        <x:v>0.05</x:v>
      </x:c>
      <x:c r="K359" s="11" t="n">
        <x:f>H359*I359*(1-J359)</x:f>
        <x:v>16359</x:v>
      </x:c>
      <x:c r="L359" s="11" t="n">
        <x:f>H359*(I359*0.62)</x:f>
        <x:v>10676.4</x:v>
      </x:c>
      <x:c r="M359" s="11" t="n">
        <x:f>K359-L359</x:f>
        <x:v>5682.6</x:v>
      </x:c>
      <x:c r="N359" s="8" t="str">
        <x:v>Online</x:v>
      </x:c>
      <x:c r="O359" s="8" t="str">
        <x:v>Credit Card</x:v>
      </x:c>
      <x:c r="P359" s="8" t="str">
        <x:v>Returned</x:v>
      </x:c>
    </x:row>
    <x:row r="360">
      <x:c r="A360" s="8" t="str">
        <x:v>ORD-2025359</x:v>
      </x:c>
      <x:c r="B360" s="9" t="n">
        <x:v>45725</x:v>
      </x:c>
      <x:c r="C360" s="8" t="str">
        <x:v>South</x:v>
      </x:c>
      <x:c r="D360" s="8" t="str">
        <x:v>Emma Martin</x:v>
      </x:c>
      <x:c r="E360" s="8" t="str">
        <x:v>Acme Inc</x:v>
      </x:c>
      <x:c r="F360" s="8" t="str">
        <x:v>Software</x:v>
      </x:c>
      <x:c r="G360" s="8" t="str">
        <x:v>ProjectFlow</x:v>
      </x:c>
      <x:c r="H360" s="10" t="n">
        <x:v>8</x:v>
      </x:c>
      <x:c r="I360" s="11" t="n">
        <x:v>700</x:v>
      </x:c>
      <x:c r="J360" s="12" t="n">
        <x:v>0</x:v>
      </x:c>
      <x:c r="K360" s="11" t="n">
        <x:f>H360*I360*(1-J360)</x:f>
        <x:v>5600</x:v>
      </x:c>
      <x:c r="L360" s="11" t="n">
        <x:f>H360*(I360*0.62)</x:f>
        <x:v>3472</x:v>
      </x:c>
      <x:c r="M360" s="11" t="n">
        <x:f>K360-L360</x:f>
        <x:v>2128</x:v>
      </x:c>
      <x:c r="N360" s="8" t="str">
        <x:v>Online</x:v>
      </x:c>
      <x:c r="O360" s="8" t="str">
        <x:v>Invoice</x:v>
      </x:c>
      <x:c r="P360" s="8" t="str">
        <x:v>Shipped</x:v>
      </x:c>
    </x:row>
    <x:row r="361">
      <x:c r="A361" s="8" t="str">
        <x:v>ORD-2025360</x:v>
      </x:c>
      <x:c r="B361" s="9" t="n">
        <x:v>45850</x:v>
      </x:c>
      <x:c r="C361" s="8" t="str">
        <x:v>East</x:v>
      </x:c>
      <x:c r="D361" s="8" t="str">
        <x:v>Olivia Wilson</x:v>
      </x:c>
      <x:c r="E361" s="8" t="str">
        <x:v>Prime LLC</x:v>
      </x:c>
      <x:c r="F361" s="8" t="str">
        <x:v>Services</x:v>
      </x:c>
      <x:c r="G361" s="8" t="str">
        <x:v>Consulting Day</x:v>
      </x:c>
      <x:c r="H361" s="10" t="n">
        <x:v>7</x:v>
      </x:c>
      <x:c r="I361" s="11" t="n">
        <x:v>1400</x:v>
      </x:c>
      <x:c r="J361" s="12" t="n">
        <x:v>0.05</x:v>
      </x:c>
      <x:c r="K361" s="11" t="n">
        <x:f>H361*I361*(1-J361)</x:f>
        <x:v>9310</x:v>
      </x:c>
      <x:c r="L361" s="11" t="n">
        <x:f>H361*(I361*0.62)</x:f>
        <x:v>6076</x:v>
      </x:c>
      <x:c r="M361" s="11" t="n">
        <x:f>K361-L361</x:f>
        <x:v>3234</x:v>
      </x:c>
      <x:c r="N361" s="8" t="str">
        <x:v>Partner</x:v>
      </x:c>
      <x:c r="O361" s="8" t="str">
        <x:v>PayPal</x:v>
      </x:c>
      <x:c r="P361" s="8" t="str">
        <x:v>Shipped</x:v>
      </x:c>
    </x:row>
    <x:row r="362">
      <x:c r="A362" s="8" t="str">
        <x:v>ORD-2025361</x:v>
      </x:c>
      <x:c r="B362" s="9" t="n">
        <x:v>45945</x:v>
      </x:c>
      <x:c r="C362" s="8" t="str">
        <x:v>Central</x:v>
      </x:c>
      <x:c r="D362" s="8" t="str">
        <x:v>Emma Martin</x:v>
      </x:c>
      <x:c r="E362" s="8" t="str">
        <x:v>Vertex LLC</x:v>
      </x:c>
      <x:c r="F362" s="8" t="str">
        <x:v>Software</x:v>
      </x:c>
      <x:c r="G362" s="8" t="str">
        <x:v>HR Suite</x:v>
      </x:c>
      <x:c r="H362" s="10" t="n">
        <x:v>10</x:v>
      </x:c>
      <x:c r="I362" s="11" t="n">
        <x:v>950</x:v>
      </x:c>
      <x:c r="J362" s="12" t="n">
        <x:v>0.15</x:v>
      </x:c>
      <x:c r="K362" s="11" t="n">
        <x:f>H362*I362*(1-J362)</x:f>
        <x:v>8075</x:v>
      </x:c>
      <x:c r="L362" s="11" t="n">
        <x:f>H362*(I362*0.62)</x:f>
        <x:v>5890</x:v>
      </x:c>
      <x:c r="M362" s="11" t="n">
        <x:f>K362-L362</x:f>
        <x:v>2185</x:v>
      </x:c>
      <x:c r="N362" s="8" t="str">
        <x:v>Direct</x:v>
      </x:c>
      <x:c r="O362" s="8" t="str">
        <x:v>PayPal</x:v>
      </x:c>
      <x:c r="P362" s="8" t="str">
        <x:v>Closed Won</x:v>
      </x:c>
    </x:row>
    <x:row r="363">
      <x:c r="A363" s="8" t="str">
        <x:v>ORD-2025362</x:v>
      </x:c>
      <x:c r="B363" s="9" t="n">
        <x:v>45799</x:v>
      </x:c>
      <x:c r="C363" s="8" t="str">
        <x:v>East</x:v>
      </x:c>
      <x:c r="D363" s="8" t="str">
        <x:v>Ethan Garcia</x:v>
      </x:c>
      <x:c r="E363" s="8" t="str">
        <x:v>Nexus LLC</x:v>
      </x:c>
      <x:c r="F363" s="8" t="str">
        <x:v>Services</x:v>
      </x:c>
      <x:c r="G363" s="8" t="str">
        <x:v>Support Plus</x:v>
      </x:c>
      <x:c r="H363" s="10" t="n">
        <x:v>5</x:v>
      </x:c>
      <x:c r="I363" s="11" t="n">
        <x:v>650</x:v>
      </x:c>
      <x:c r="J363" s="12" t="n">
        <x:v>0.1</x:v>
      </x:c>
      <x:c r="K363" s="11" t="n">
        <x:f>H363*I363*(1-J363)</x:f>
        <x:v>2925</x:v>
      </x:c>
      <x:c r="L363" s="11" t="n">
        <x:f>H363*(I363*0.62)</x:f>
        <x:v>2015</x:v>
      </x:c>
      <x:c r="M363" s="11" t="n">
        <x:f>K363-L363</x:f>
        <x:v>910</x:v>
      </x:c>
      <x:c r="N363" s="8" t="str">
        <x:v>Direct</x:v>
      </x:c>
      <x:c r="O363" s="8" t="str">
        <x:v>Credit Card</x:v>
      </x:c>
      <x:c r="P363" s="8" t="str">
        <x:v>Returned</x:v>
      </x:c>
    </x:row>
    <x:row r="364">
      <x:c r="A364" s="8" t="str">
        <x:v>ORD-2025363</x:v>
      </x:c>
      <x:c r="B364" s="9" t="n">
        <x:v>46006</x:v>
      </x:c>
      <x:c r="C364" s="8" t="str">
        <x:v>South</x:v>
      </x:c>
      <x:c r="D364" s="8" t="str">
        <x:v>Ava Patel</x:v>
      </x:c>
      <x:c r="E364" s="8" t="str">
        <x:v>NorthStar Group</x:v>
      </x:c>
      <x:c r="F364" s="8" t="str">
        <x:v>Accessories</x:v>
      </x:c>
      <x:c r="G364" s="8" t="str">
        <x:v>Webcam HD</x:v>
      </x:c>
      <x:c r="H364" s="10" t="n">
        <x:v>10</x:v>
      </x:c>
      <x:c r="I364" s="11" t="n">
        <x:v>110</x:v>
      </x:c>
      <x:c r="J364" s="12" t="n">
        <x:v>0</x:v>
      </x:c>
      <x:c r="K364" s="11" t="n">
        <x:f>H364*I364*(1-J364)</x:f>
        <x:v>1100</x:v>
      </x:c>
      <x:c r="L364" s="11" t="n">
        <x:f>H364*(I364*0.62)</x:f>
        <x:v>682</x:v>
      </x:c>
      <x:c r="M364" s="11" t="n">
        <x:f>K364-L364</x:f>
        <x:v>418</x:v>
      </x:c>
      <x:c r="N364" s="8" t="str">
        <x:v>Partner</x:v>
      </x:c>
      <x:c r="O364" s="8" t="str">
        <x:v>PayPal</x:v>
      </x:c>
      <x:c r="P364" s="8" t="str">
        <x:v>Closed Won</x:v>
      </x:c>
    </x:row>
    <x:row r="365">
      <x:c r="A365" s="8" t="str">
        <x:v>ORD-2025364</x:v>
      </x:c>
      <x:c r="B365" s="9" t="n">
        <x:v>45833</x:v>
      </x:c>
      <x:c r="C365" s="8" t="str">
        <x:v>South</x:v>
      </x:c>
      <x:c r="D365" s="8" t="str">
        <x:v>Mason Lee</x:v>
      </x:c>
      <x:c r="E365" s="8" t="str">
        <x:v>NorthStar LLC</x:v>
      </x:c>
      <x:c r="F365" s="8" t="str">
        <x:v>Software</x:v>
      </x:c>
      <x:c r="G365" s="8" t="str">
        <x:v>Analytics Cloud</x:v>
      </x:c>
      <x:c r="H365" s="10" t="n">
        <x:v>22</x:v>
      </x:c>
      <x:c r="I365" s="11" t="n">
        <x:v>1800</x:v>
      </x:c>
      <x:c r="J365" s="12" t="n">
        <x:v>0</x:v>
      </x:c>
      <x:c r="K365" s="11" t="n">
        <x:f>H365*I365*(1-J365)</x:f>
        <x:v>39600</x:v>
      </x:c>
      <x:c r="L365" s="11" t="n">
        <x:f>H365*(I365*0.62)</x:f>
        <x:v>24552</x:v>
      </x:c>
      <x:c r="M365" s="11" t="n">
        <x:f>K365-L365</x:f>
        <x:v>15048</x:v>
      </x:c>
      <x:c r="N365" s="8" t="str">
        <x:v>Online</x:v>
      </x:c>
      <x:c r="O365" s="8" t="str">
        <x:v>Invoice</x:v>
      </x:c>
      <x:c r="P365" s="8" t="str">
        <x:v>Returned</x:v>
      </x:c>
    </x:row>
    <x:row r="366">
      <x:c r="A366" s="8" t="str">
        <x:v>ORD-2025365</x:v>
      </x:c>
      <x:c r="B366" s="9" t="n">
        <x:v>45707</x:v>
      </x:c>
      <x:c r="C366" s="8" t="str">
        <x:v>West</x:v>
      </x:c>
      <x:c r="D366" s="8" t="str">
        <x:v>Noah Davis</x:v>
      </x:c>
      <x:c r="E366" s="8" t="str">
        <x:v>Prime Inc</x:v>
      </x:c>
      <x:c r="F366" s="8" t="str">
        <x:v>Hardware</x:v>
      </x:c>
      <x:c r="G366" s="8" t="str">
        <x:v>Dock Station</x:v>
      </x:c>
      <x:c r="H366" s="10" t="n">
        <x:v>24</x:v>
      </x:c>
      <x:c r="I366" s="11" t="n">
        <x:v>180</x:v>
      </x:c>
      <x:c r="J366" s="12" t="n">
        <x:v>0.2</x:v>
      </x:c>
      <x:c r="K366" s="11" t="n">
        <x:f>H366*I366*(1-J366)</x:f>
        <x:v>3456</x:v>
      </x:c>
      <x:c r="L366" s="11" t="n">
        <x:f>H366*(I366*0.62)</x:f>
        <x:v>2678.3999999999996</x:v>
      </x:c>
      <x:c r="M366" s="11" t="n">
        <x:f>K366-L366</x:f>
        <x:v>777.6000000000004</x:v>
      </x:c>
      <x:c r="N366" s="8" t="str">
        <x:v>Online</x:v>
      </x:c>
      <x:c r="O366" s="8" t="str">
        <x:v>Bank Transfer</x:v>
      </x:c>
      <x:c r="P366" s="8" t="str">
        <x:v>Cancelled</x:v>
      </x:c>
    </x:row>
    <x:row r="367">
      <x:c r="A367" s="8" t="str">
        <x:v>ORD-2025366</x:v>
      </x:c>
      <x:c r="B367" s="9" t="n">
        <x:v>45771</x:v>
      </x:c>
      <x:c r="C367" s="8" t="str">
        <x:v>East</x:v>
      </x:c>
      <x:c r="D367" s="8" t="str">
        <x:v>Mia Johnson</x:v>
      </x:c>
      <x:c r="E367" s="8" t="str">
        <x:v>Vertex Group</x:v>
      </x:c>
      <x:c r="F367" s="8" t="str">
        <x:v>Services</x:v>
      </x:c>
      <x:c r="G367" s="8" t="str">
        <x:v>Implementation</x:v>
      </x:c>
      <x:c r="H367" s="10" t="n">
        <x:v>14</x:v>
      </x:c>
      <x:c r="I367" s="11" t="n">
        <x:v>2500</x:v>
      </x:c>
      <x:c r="J367" s="12" t="n">
        <x:v>0.2</x:v>
      </x:c>
      <x:c r="K367" s="11" t="n">
        <x:f>H367*I367*(1-J367)</x:f>
        <x:v>28000</x:v>
      </x:c>
      <x:c r="L367" s="11" t="n">
        <x:f>H367*(I367*0.62)</x:f>
        <x:v>21700</x:v>
      </x:c>
      <x:c r="M367" s="11" t="n">
        <x:f>K367-L367</x:f>
        <x:v>6300</x:v>
      </x:c>
      <x:c r="N367" s="8" t="str">
        <x:v>Partner</x:v>
      </x:c>
      <x:c r="O367" s="8" t="str">
        <x:v>Invoice</x:v>
      </x:c>
      <x:c r="P367" s="8" t="str">
        <x:v>Closed Won</x:v>
      </x:c>
    </x:row>
    <x:row r="368">
      <x:c r="A368" s="8" t="str">
        <x:v>ORD-2025367</x:v>
      </x:c>
      <x:c r="B368" s="9" t="n">
        <x:v>45718</x:v>
      </x:c>
      <x:c r="C368" s="8" t="str">
        <x:v>West</x:v>
      </x:c>
      <x:c r="D368" s="8" t="str">
        <x:v>Ava Patel</x:v>
      </x:c>
      <x:c r="E368" s="8" t="str">
        <x:v>Ironwood Co</x:v>
      </x:c>
      <x:c r="F368" s="8" t="str">
        <x:v>Services</x:v>
      </x:c>
      <x:c r="G368" s="8" t="str">
        <x:v>Consulting Day</x:v>
      </x:c>
      <x:c r="H368" s="10" t="n">
        <x:v>19</x:v>
      </x:c>
      <x:c r="I368" s="11" t="n">
        <x:v>1400</x:v>
      </x:c>
      <x:c r="J368" s="12" t="n">
        <x:v>0.1</x:v>
      </x:c>
      <x:c r="K368" s="11" t="n">
        <x:f>H368*I368*(1-J368)</x:f>
        <x:v>23940</x:v>
      </x:c>
      <x:c r="L368" s="11" t="n">
        <x:f>H368*(I368*0.62)</x:f>
        <x:v>16492</x:v>
      </x:c>
      <x:c r="M368" s="11" t="n">
        <x:f>K368-L368</x:f>
        <x:v>7448</x:v>
      </x:c>
      <x:c r="N368" s="8" t="str">
        <x:v>Direct</x:v>
      </x:c>
      <x:c r="O368" s="8" t="str">
        <x:v>PayPal</x:v>
      </x:c>
      <x:c r="P368" s="8" t="str">
        <x:v>Cancelled</x:v>
      </x:c>
    </x:row>
    <x:row r="369">
      <x:c r="A369" s="8" t="str">
        <x:v>ORD-2025368</x:v>
      </x:c>
      <x:c r="B369" s="9" t="n">
        <x:v>45929</x:v>
      </x:c>
      <x:c r="C369" s="8" t="str">
        <x:v>East</x:v>
      </x:c>
      <x:c r="D369" s="8" t="str">
        <x:v>Lucas Brown</x:v>
      </x:c>
      <x:c r="E369" s="8" t="str">
        <x:v>Summit Co</x:v>
      </x:c>
      <x:c r="F369" s="8" t="str">
        <x:v>Software</x:v>
      </x:c>
      <x:c r="G369" s="8" t="str">
        <x:v>ProjectFlow</x:v>
      </x:c>
      <x:c r="H369" s="10" t="n">
        <x:v>5</x:v>
      </x:c>
      <x:c r="I369" s="11" t="n">
        <x:v>700</x:v>
      </x:c>
      <x:c r="J369" s="12" t="n">
        <x:v>0</x:v>
      </x:c>
      <x:c r="K369" s="11" t="n">
        <x:f>H369*I369*(1-J369)</x:f>
        <x:v>3500</x:v>
      </x:c>
      <x:c r="L369" s="11" t="n">
        <x:f>H369*(I369*0.62)</x:f>
        <x:v>2170</x:v>
      </x:c>
      <x:c r="M369" s="11" t="n">
        <x:f>K369-L369</x:f>
        <x:v>1330</x:v>
      </x:c>
      <x:c r="N369" s="8" t="str">
        <x:v>Direct</x:v>
      </x:c>
      <x:c r="O369" s="8" t="str">
        <x:v>Invoice</x:v>
      </x:c>
      <x:c r="P369" s="8" t="str">
        <x:v>Closed Won</x:v>
      </x:c>
    </x:row>
    <x:row r="370">
      <x:c r="A370" s="8" t="str">
        <x:v>ORD-2025369</x:v>
      </x:c>
      <x:c r="B370" s="9" t="n">
        <x:v>45819</x:v>
      </x:c>
      <x:c r="C370" s="8" t="str">
        <x:v>South</x:v>
      </x:c>
      <x:c r="D370" s="8" t="str">
        <x:v>Liam Chen</x:v>
      </x:c>
      <x:c r="E370" s="8" t="str">
        <x:v>NorthStar Co</x:v>
      </x:c>
      <x:c r="F370" s="8" t="str">
        <x:v>Accessories</x:v>
      </x:c>
      <x:c r="G370" s="8" t="str">
        <x:v>Keyboard Pro</x:v>
      </x:c>
      <x:c r="H370" s="10" t="n">
        <x:v>11</x:v>
      </x:c>
      <x:c r="I370" s="11" t="n">
        <x:v>95</x:v>
      </x:c>
      <x:c r="J370" s="12" t="n">
        <x:v>0.15</x:v>
      </x:c>
      <x:c r="K370" s="11" t="n">
        <x:f>H370*I370*(1-J370)</x:f>
        <x:v>888.25</x:v>
      </x:c>
      <x:c r="L370" s="11" t="n">
        <x:f>H370*(I370*0.62)</x:f>
        <x:v>647.9</x:v>
      </x:c>
      <x:c r="M370" s="11" t="n">
        <x:f>K370-L370</x:f>
        <x:v>240.35000000000002</x:v>
      </x:c>
      <x:c r="N370" s="8" t="str">
        <x:v>Direct</x:v>
      </x:c>
      <x:c r="O370" s="8" t="str">
        <x:v>Invoice</x:v>
      </x:c>
      <x:c r="P370" s="8" t="str">
        <x:v>Shipped</x:v>
      </x:c>
    </x:row>
    <x:row r="371">
      <x:c r="A371" s="8" t="str">
        <x:v>ORD-2025370</x:v>
      </x:c>
      <x:c r="B371" s="9" t="n">
        <x:v>45798</x:v>
      </x:c>
      <x:c r="C371" s="8" t="str">
        <x:v>South</x:v>
      </x:c>
      <x:c r="D371" s="8" t="str">
        <x:v>Noah Davis</x:v>
      </x:c>
      <x:c r="E371" s="8" t="str">
        <x:v>Ironwood Inc</x:v>
      </x:c>
      <x:c r="F371" s="8" t="str">
        <x:v>Software</x:v>
      </x:c>
      <x:c r="G371" s="8" t="str">
        <x:v>ProjectFlow</x:v>
      </x:c>
      <x:c r="H371" s="10" t="n">
        <x:v>25</x:v>
      </x:c>
      <x:c r="I371" s="11" t="n">
        <x:v>700</x:v>
      </x:c>
      <x:c r="J371" s="12" t="n">
        <x:v>0</x:v>
      </x:c>
      <x:c r="K371" s="11" t="n">
        <x:f>H371*I371*(1-J371)</x:f>
        <x:v>17500</x:v>
      </x:c>
      <x:c r="L371" s="11" t="n">
        <x:f>H371*(I371*0.62)</x:f>
        <x:v>10850</x:v>
      </x:c>
      <x:c r="M371" s="11" t="n">
        <x:f>K371-L371</x:f>
        <x:v>6650</x:v>
      </x:c>
      <x:c r="N371" s="8" t="str">
        <x:v>Partner</x:v>
      </x:c>
      <x:c r="O371" s="8" t="str">
        <x:v>Credit Card</x:v>
      </x:c>
      <x:c r="P371" s="8" t="str">
        <x:v>Closed Won</x:v>
      </x:c>
    </x:row>
    <x:row r="372">
      <x:c r="A372" s="8" t="str">
        <x:v>ORD-2025371</x:v>
      </x:c>
      <x:c r="B372" s="9" t="n">
        <x:v>45864</x:v>
      </x:c>
      <x:c r="C372" s="8" t="str">
        <x:v>West</x:v>
      </x:c>
      <x:c r="D372" s="8" t="str">
        <x:v>Olivia Wilson</x:v>
      </x:c>
      <x:c r="E372" s="8" t="str">
        <x:v>SilverLine Inc</x:v>
      </x:c>
      <x:c r="F372" s="8" t="str">
        <x:v>Accessories</x:v>
      </x:c>
      <x:c r="G372" s="8" t="str">
        <x:v>Headset</x:v>
      </x:c>
      <x:c r="H372" s="10" t="n">
        <x:v>1</x:v>
      </x:c>
      <x:c r="I372" s="11" t="n">
        <x:v>85</x:v>
      </x:c>
      <x:c r="J372" s="12" t="n">
        <x:v>0</x:v>
      </x:c>
      <x:c r="K372" s="11" t="n">
        <x:f>H372*I372*(1-J372)</x:f>
        <x:v>85</x:v>
      </x:c>
      <x:c r="L372" s="11" t="n">
        <x:f>H372*(I372*0.62)</x:f>
        <x:v>52.7</x:v>
      </x:c>
      <x:c r="M372" s="11" t="n">
        <x:f>K372-L372</x:f>
        <x:v>32.3</x:v>
      </x:c>
      <x:c r="N372" s="8" t="str">
        <x:v>Online</x:v>
      </x:c>
      <x:c r="O372" s="8" t="str">
        <x:v>Bank Transfer</x:v>
      </x:c>
      <x:c r="P372" s="8" t="str">
        <x:v>Shipped</x:v>
      </x:c>
    </x:row>
    <x:row r="373">
      <x:c r="A373" s="8" t="str">
        <x:v>ORD-2025372</x:v>
      </x:c>
      <x:c r="B373" s="9" t="n">
        <x:v>45929</x:v>
      </x:c>
      <x:c r="C373" s="8" t="str">
        <x:v>South</x:v>
      </x:c>
      <x:c r="D373" s="8" t="str">
        <x:v>Ava Patel</x:v>
      </x:c>
      <x:c r="E373" s="8" t="str">
        <x:v>Acme LLC</x:v>
      </x:c>
      <x:c r="F373" s="8" t="str">
        <x:v>Software</x:v>
      </x:c>
      <x:c r="G373" s="8" t="str">
        <x:v>HR Suite</x:v>
      </x:c>
      <x:c r="H373" s="10" t="n">
        <x:v>21</x:v>
      </x:c>
      <x:c r="I373" s="11" t="n">
        <x:v>950</x:v>
      </x:c>
      <x:c r="J373" s="12" t="n">
        <x:v>0.15</x:v>
      </x:c>
      <x:c r="K373" s="11" t="n">
        <x:f>H373*I373*(1-J373)</x:f>
        <x:v>16957.5</x:v>
      </x:c>
      <x:c r="L373" s="11" t="n">
        <x:f>H373*(I373*0.62)</x:f>
        <x:v>12369</x:v>
      </x:c>
      <x:c r="M373" s="11" t="n">
        <x:f>K373-L373</x:f>
        <x:v>4588.5</x:v>
      </x:c>
      <x:c r="N373" s="8" t="str">
        <x:v>Direct</x:v>
      </x:c>
      <x:c r="O373" s="8" t="str">
        <x:v>Bank Transfer</x:v>
      </x:c>
      <x:c r="P373" s="8" t="str">
        <x:v>Shipped</x:v>
      </x:c>
    </x:row>
    <x:row r="374">
      <x:c r="A374" s="8" t="str">
        <x:v>ORD-2025373</x:v>
      </x:c>
      <x:c r="B374" s="9" t="n">
        <x:v>45724</x:v>
      </x:c>
      <x:c r="C374" s="8" t="str">
        <x:v>North</x:v>
      </x:c>
      <x:c r="D374" s="8" t="str">
        <x:v>Lucas Brown</x:v>
      </x:c>
      <x:c r="E374" s="8" t="str">
        <x:v>Southridge LLC</x:v>
      </x:c>
      <x:c r="F374" s="8" t="str">
        <x:v>Services</x:v>
      </x:c>
      <x:c r="G374" s="8" t="str">
        <x:v>Support Plus</x:v>
      </x:c>
      <x:c r="H374" s="10" t="n">
        <x:v>19</x:v>
      </x:c>
      <x:c r="I374" s="11" t="n">
        <x:v>650</x:v>
      </x:c>
      <x:c r="J374" s="12" t="n">
        <x:v>0</x:v>
      </x:c>
      <x:c r="K374" s="11" t="n">
        <x:f>H374*I374*(1-J374)</x:f>
        <x:v>12350</x:v>
      </x:c>
      <x:c r="L374" s="11" t="n">
        <x:f>H374*(I374*0.62)</x:f>
        <x:v>7657</x:v>
      </x:c>
      <x:c r="M374" s="11" t="n">
        <x:f>K374-L374</x:f>
        <x:v>4693</x:v>
      </x:c>
      <x:c r="N374" s="8" t="str">
        <x:v>Direct</x:v>
      </x:c>
      <x:c r="O374" s="8" t="str">
        <x:v>Credit Card</x:v>
      </x:c>
      <x:c r="P374" s="8" t="str">
        <x:v>Returned</x:v>
      </x:c>
    </x:row>
    <x:row r="375">
      <x:c r="A375" s="8" t="str">
        <x:v>ORD-2025374</x:v>
      </x:c>
      <x:c r="B375" s="9" t="n">
        <x:v>45891</x:v>
      </x:c>
      <x:c r="C375" s="8" t="str">
        <x:v>Central</x:v>
      </x:c>
      <x:c r="D375" s="8" t="str">
        <x:v>Emma Martin</x:v>
      </x:c>
      <x:c r="E375" s="8" t="str">
        <x:v>Southridge Group</x:v>
      </x:c>
      <x:c r="F375" s="8" t="str">
        <x:v>Services</x:v>
      </x:c>
      <x:c r="G375" s="8" t="str">
        <x:v>Support Plus</x:v>
      </x:c>
      <x:c r="H375" s="10" t="n">
        <x:v>11</x:v>
      </x:c>
      <x:c r="I375" s="11" t="n">
        <x:v>650</x:v>
      </x:c>
      <x:c r="J375" s="12" t="n">
        <x:v>0.05</x:v>
      </x:c>
      <x:c r="K375" s="11" t="n">
        <x:f>H375*I375*(1-J375)</x:f>
        <x:v>6792.5</x:v>
      </x:c>
      <x:c r="L375" s="11" t="n">
        <x:f>H375*(I375*0.62)</x:f>
        <x:v>4433</x:v>
      </x:c>
      <x:c r="M375" s="11" t="n">
        <x:f>K375-L375</x:f>
        <x:v>2359.5</x:v>
      </x:c>
      <x:c r="N375" s="8" t="str">
        <x:v>Online</x:v>
      </x:c>
      <x:c r="O375" s="8" t="str">
        <x:v>Bank Transfer</x:v>
      </x:c>
      <x:c r="P375" s="8" t="str">
        <x:v>Closed Won</x:v>
      </x:c>
    </x:row>
    <x:row r="376">
      <x:c r="A376" s="8" t="str">
        <x:v>ORD-2025375</x:v>
      </x:c>
      <x:c r="B376" s="9" t="n">
        <x:v>45754</x:v>
      </x:c>
      <x:c r="C376" s="8" t="str">
        <x:v>South</x:v>
      </x:c>
      <x:c r="D376" s="8" t="str">
        <x:v>Lucas Brown</x:v>
      </x:c>
      <x:c r="E376" s="8" t="str">
        <x:v>Acme Co</x:v>
      </x:c>
      <x:c r="F376" s="8" t="str">
        <x:v>Accessories</x:v>
      </x:c>
      <x:c r="G376" s="8" t="str">
        <x:v>Webcam HD</x:v>
      </x:c>
      <x:c r="H376" s="10" t="n">
        <x:v>8</x:v>
      </x:c>
      <x:c r="I376" s="11" t="n">
        <x:v>110</x:v>
      </x:c>
      <x:c r="J376" s="12" t="n">
        <x:v>0</x:v>
      </x:c>
      <x:c r="K376" s="11" t="n">
        <x:f>H376*I376*(1-J376)</x:f>
        <x:v>880</x:v>
      </x:c>
      <x:c r="L376" s="11" t="n">
        <x:f>H376*(I376*0.62)</x:f>
        <x:v>545.6</x:v>
      </x:c>
      <x:c r="M376" s="11" t="n">
        <x:f>K376-L376</x:f>
        <x:v>334.4</x:v>
      </x:c>
      <x:c r="N376" s="8" t="str">
        <x:v>Online</x:v>
      </x:c>
      <x:c r="O376" s="8" t="str">
        <x:v>Bank Transfer</x:v>
      </x:c>
      <x:c r="P376" s="8" t="str">
        <x:v>Closed Won</x:v>
      </x:c>
    </x:row>
    <x:row r="377">
      <x:c r="A377" s="8" t="str">
        <x:v>ORD-2025376</x:v>
      </x:c>
      <x:c r="B377" s="9" t="n">
        <x:v>45721</x:v>
      </x:c>
      <x:c r="C377" s="8" t="str">
        <x:v>East</x:v>
      </x:c>
      <x:c r="D377" s="8" t="str">
        <x:v>Ava Patel</x:v>
      </x:c>
      <x:c r="E377" s="8" t="str">
        <x:v>SilverLine LLC</x:v>
      </x:c>
      <x:c r="F377" s="8" t="str">
        <x:v>Software</x:v>
      </x:c>
      <x:c r="G377" s="8" t="str">
        <x:v>Analytics Cloud</x:v>
      </x:c>
      <x:c r="H377" s="10" t="n">
        <x:v>21</x:v>
      </x:c>
      <x:c r="I377" s="11" t="n">
        <x:v>1800</x:v>
      </x:c>
      <x:c r="J377" s="12" t="n">
        <x:v>0</x:v>
      </x:c>
      <x:c r="K377" s="11" t="n">
        <x:f>H377*I377*(1-J377)</x:f>
        <x:v>37800</x:v>
      </x:c>
      <x:c r="L377" s="11" t="n">
        <x:f>H377*(I377*0.62)</x:f>
        <x:v>23436</x:v>
      </x:c>
      <x:c r="M377" s="11" t="n">
        <x:f>K377-L377</x:f>
        <x:v>14364</x:v>
      </x:c>
      <x:c r="N377" s="8" t="str">
        <x:v>Online</x:v>
      </x:c>
      <x:c r="O377" s="8" t="str">
        <x:v>Credit Card</x:v>
      </x:c>
      <x:c r="P377" s="8" t="str">
        <x:v>Shipped</x:v>
      </x:c>
    </x:row>
    <x:row r="378">
      <x:c r="A378" s="8" t="str">
        <x:v>ORD-2025377</x:v>
      </x:c>
      <x:c r="B378" s="9" t="n">
        <x:v>45992</x:v>
      </x:c>
      <x:c r="C378" s="8" t="str">
        <x:v>North</x:v>
      </x:c>
      <x:c r="D378" s="8" t="str">
        <x:v>Ava Patel</x:v>
      </x:c>
      <x:c r="E378" s="8" t="str">
        <x:v>Pioneer Co</x:v>
      </x:c>
      <x:c r="F378" s="8" t="str">
        <x:v>Software</x:v>
      </x:c>
      <x:c r="G378" s="8" t="str">
        <x:v>CRM Pro</x:v>
      </x:c>
      <x:c r="H378" s="10" t="n">
        <x:v>14</x:v>
      </x:c>
      <x:c r="I378" s="11" t="n">
        <x:v>1200</x:v>
      </x:c>
      <x:c r="J378" s="12" t="n">
        <x:v>0.05</x:v>
      </x:c>
      <x:c r="K378" s="11" t="n">
        <x:f>H378*I378*(1-J378)</x:f>
        <x:v>15960</x:v>
      </x:c>
      <x:c r="L378" s="11" t="n">
        <x:f>H378*(I378*0.62)</x:f>
        <x:v>10416</x:v>
      </x:c>
      <x:c r="M378" s="11" t="n">
        <x:f>K378-L378</x:f>
        <x:v>5544</x:v>
      </x:c>
      <x:c r="N378" s="8" t="str">
        <x:v>Partner</x:v>
      </x:c>
      <x:c r="O378" s="8" t="str">
        <x:v>Credit Card</x:v>
      </x:c>
      <x:c r="P378" s="8" t="str">
        <x:v>Pending</x:v>
      </x:c>
    </x:row>
    <x:row r="379">
      <x:c r="A379" s="8" t="str">
        <x:v>ORD-2025378</x:v>
      </x:c>
      <x:c r="B379" s="9" t="n">
        <x:v>45763</x:v>
      </x:c>
      <x:c r="C379" s="8" t="str">
        <x:v>North</x:v>
      </x:c>
      <x:c r="D379" s="8" t="str">
        <x:v>Ethan Garcia</x:v>
      </x:c>
      <x:c r="E379" s="8" t="str">
        <x:v>RedStone Inc</x:v>
      </x:c>
      <x:c r="F379" s="8" t="str">
        <x:v>Accessories</x:v>
      </x:c>
      <x:c r="G379" s="8" t="str">
        <x:v>Keyboard Pro</x:v>
      </x:c>
      <x:c r="H379" s="10" t="n">
        <x:v>22</x:v>
      </x:c>
      <x:c r="I379" s="11" t="n">
        <x:v>95</x:v>
      </x:c>
      <x:c r="J379" s="12" t="n">
        <x:v>0</x:v>
      </x:c>
      <x:c r="K379" s="11" t="n">
        <x:f>H379*I379*(1-J379)</x:f>
        <x:v>2090</x:v>
      </x:c>
      <x:c r="L379" s="11" t="n">
        <x:f>H379*(I379*0.62)</x:f>
        <x:v>1295.8</x:v>
      </x:c>
      <x:c r="M379" s="11" t="n">
        <x:f>K379-L379</x:f>
        <x:v>794.2</x:v>
      </x:c>
      <x:c r="N379" s="8" t="str">
        <x:v>Online</x:v>
      </x:c>
      <x:c r="O379" s="8" t="str">
        <x:v>Invoice</x:v>
      </x:c>
      <x:c r="P379" s="8" t="str">
        <x:v>Shipped</x:v>
      </x:c>
    </x:row>
    <x:row r="380">
      <x:c r="A380" s="8" t="str">
        <x:v>ORD-2025379</x:v>
      </x:c>
      <x:c r="B380" s="9" t="n">
        <x:v>45711</x:v>
      </x:c>
      <x:c r="C380" s="8" t="str">
        <x:v>Central</x:v>
      </x:c>
      <x:c r="D380" s="8" t="str">
        <x:v>Emma Martin</x:v>
      </x:c>
      <x:c r="E380" s="8" t="str">
        <x:v>Pioneer Group</x:v>
      </x:c>
      <x:c r="F380" s="8" t="str">
        <x:v>Hardware</x:v>
      </x:c>
      <x:c r="G380" s="8" t="str">
        <x:v>Monitor 27</x:v>
      </x:c>
      <x:c r="H380" s="10" t="n">
        <x:v>10</x:v>
      </x:c>
      <x:c r="I380" s="11" t="n">
        <x:v>320</x:v>
      </x:c>
      <x:c r="J380" s="12" t="n">
        <x:v>0</x:v>
      </x:c>
      <x:c r="K380" s="11" t="n">
        <x:f>H380*I380*(1-J380)</x:f>
        <x:v>3200</x:v>
      </x:c>
      <x:c r="L380" s="11" t="n">
        <x:f>H380*(I380*0.62)</x:f>
        <x:v>1984</x:v>
      </x:c>
      <x:c r="M380" s="11" t="n">
        <x:f>K380-L380</x:f>
        <x:v>1216</x:v>
      </x:c>
      <x:c r="N380" s="8" t="str">
        <x:v>Direct</x:v>
      </x:c>
      <x:c r="O380" s="8" t="str">
        <x:v>PayPal</x:v>
      </x:c>
      <x:c r="P380" s="8" t="str">
        <x:v>Closed Won</x:v>
      </x:c>
    </x:row>
    <x:row r="381">
      <x:c r="A381" s="8" t="str">
        <x:v>ORD-2025380</x:v>
      </x:c>
      <x:c r="B381" s="9" t="n">
        <x:v>45925</x:v>
      </x:c>
      <x:c r="C381" s="8" t="str">
        <x:v>South</x:v>
      </x:c>
      <x:c r="D381" s="8" t="str">
        <x:v>Sophia Kim</x:v>
      </x:c>
      <x:c r="E381" s="8" t="str">
        <x:v>RedStone LLC</x:v>
      </x:c>
      <x:c r="F381" s="8" t="str">
        <x:v>Hardware</x:v>
      </x:c>
      <x:c r="G381" s="8" t="str">
        <x:v>Dock Station</x:v>
      </x:c>
      <x:c r="H381" s="10" t="n">
        <x:v>10</x:v>
      </x:c>
      <x:c r="I381" s="11" t="n">
        <x:v>180</x:v>
      </x:c>
      <x:c r="J381" s="12" t="n">
        <x:v>0</x:v>
      </x:c>
      <x:c r="K381" s="11" t="n">
        <x:f>H381*I381*(1-J381)</x:f>
        <x:v>1800</x:v>
      </x:c>
      <x:c r="L381" s="11" t="n">
        <x:f>H381*(I381*0.62)</x:f>
        <x:v>1116</x:v>
      </x:c>
      <x:c r="M381" s="11" t="n">
        <x:f>K381-L381</x:f>
        <x:v>684</x:v>
      </x:c>
      <x:c r="N381" s="8" t="str">
        <x:v>Direct</x:v>
      </x:c>
      <x:c r="O381" s="8" t="str">
        <x:v>PayPal</x:v>
      </x:c>
      <x:c r="P381" s="8" t="str">
        <x:v>Cancelled</x:v>
      </x:c>
    </x:row>
    <x:row r="382">
      <x:c r="A382" s="8" t="str">
        <x:v>ORD-2025381</x:v>
      </x:c>
      <x:c r="B382" s="9" t="n">
        <x:v>45778</x:v>
      </x:c>
      <x:c r="C382" s="8" t="str">
        <x:v>North</x:v>
      </x:c>
      <x:c r="D382" s="8" t="str">
        <x:v>Ava Patel</x:v>
      </x:c>
      <x:c r="E382" s="8" t="str">
        <x:v>BlueSky Group</x:v>
      </x:c>
      <x:c r="F382" s="8" t="str">
        <x:v>Accessories</x:v>
      </x:c>
      <x:c r="G382" s="8" t="str">
        <x:v>Webcam HD</x:v>
      </x:c>
      <x:c r="H382" s="10" t="n">
        <x:v>4</x:v>
      </x:c>
      <x:c r="I382" s="11" t="n">
        <x:v>110</x:v>
      </x:c>
      <x:c r="J382" s="12" t="n">
        <x:v>0.2</x:v>
      </x:c>
      <x:c r="K382" s="11" t="n">
        <x:f>H382*I382*(1-J382)</x:f>
        <x:v>352</x:v>
      </x:c>
      <x:c r="L382" s="11" t="n">
        <x:f>H382*(I382*0.62)</x:f>
        <x:v>272.8</x:v>
      </x:c>
      <x:c r="M382" s="11" t="n">
        <x:f>K382-L382</x:f>
        <x:v>79.19999999999999</x:v>
      </x:c>
      <x:c r="N382" s="8" t="str">
        <x:v>Online</x:v>
      </x:c>
      <x:c r="O382" s="8" t="str">
        <x:v>PayPal</x:v>
      </x:c>
      <x:c r="P382" s="8" t="str">
        <x:v>Closed Won</x:v>
      </x:c>
    </x:row>
    <x:row r="383">
      <x:c r="A383" s="8" t="str">
        <x:v>ORD-2025382</x:v>
      </x:c>
      <x:c r="B383" s="9" t="n">
        <x:v>45709</x:v>
      </x:c>
      <x:c r="C383" s="8" t="str">
        <x:v>East</x:v>
      </x:c>
      <x:c r="D383" s="8" t="str">
        <x:v>Mia Johnson</x:v>
      </x:c>
      <x:c r="E383" s="8" t="str">
        <x:v>GoldenGate Co</x:v>
      </x:c>
      <x:c r="F383" s="8" t="str">
        <x:v>Software</x:v>
      </x:c>
      <x:c r="G383" s="8" t="str">
        <x:v>CRM Pro</x:v>
      </x:c>
      <x:c r="H383" s="10" t="n">
        <x:v>10</x:v>
      </x:c>
      <x:c r="I383" s="11" t="n">
        <x:v>1200</x:v>
      </x:c>
      <x:c r="J383" s="12" t="n">
        <x:v>0</x:v>
      </x:c>
      <x:c r="K383" s="11" t="n">
        <x:f>H383*I383*(1-J383)</x:f>
        <x:v>12000</x:v>
      </x:c>
      <x:c r="L383" s="11" t="n">
        <x:f>H383*(I383*0.62)</x:f>
        <x:v>7440</x:v>
      </x:c>
      <x:c r="M383" s="11" t="n">
        <x:f>K383-L383</x:f>
        <x:v>4560</x:v>
      </x:c>
      <x:c r="N383" s="8" t="str">
        <x:v>Partner</x:v>
      </x:c>
      <x:c r="O383" s="8" t="str">
        <x:v>Credit Card</x:v>
      </x:c>
      <x:c r="P383" s="8" t="str">
        <x:v>Closed Won</x:v>
      </x:c>
    </x:row>
    <x:row r="384">
      <x:c r="A384" s="8" t="str">
        <x:v>ORD-2025383</x:v>
      </x:c>
      <x:c r="B384" s="9" t="n">
        <x:v>45806</x:v>
      </x:c>
      <x:c r="C384" s="8" t="str">
        <x:v>East</x:v>
      </x:c>
      <x:c r="D384" s="8" t="str">
        <x:v>Sophia Kim</x:v>
      </x:c>
      <x:c r="E384" s="8" t="str">
        <x:v>RedStone Co</x:v>
      </x:c>
      <x:c r="F384" s="8" t="str">
        <x:v>Hardware</x:v>
      </x:c>
      <x:c r="G384" s="8" t="str">
        <x:v>Laptop X</x:v>
      </x:c>
      <x:c r="H384" s="10" t="n">
        <x:v>24</x:v>
      </x:c>
      <x:c r="I384" s="11" t="n">
        <x:v>1500</x:v>
      </x:c>
      <x:c r="J384" s="12" t="n">
        <x:v>0</x:v>
      </x:c>
      <x:c r="K384" s="11" t="n">
        <x:f>H384*I384*(1-J384)</x:f>
        <x:v>36000</x:v>
      </x:c>
      <x:c r="L384" s="11" t="n">
        <x:f>H384*(I384*0.62)</x:f>
        <x:v>22320</x:v>
      </x:c>
      <x:c r="M384" s="11" t="n">
        <x:f>K384-L384</x:f>
        <x:v>13680</x:v>
      </x:c>
      <x:c r="N384" s="8" t="str">
        <x:v>Direct</x:v>
      </x:c>
      <x:c r="O384" s="8" t="str">
        <x:v>Credit Card</x:v>
      </x:c>
      <x:c r="P384" s="8" t="str">
        <x:v>Closed Won</x:v>
      </x:c>
    </x:row>
    <x:row r="385">
      <x:c r="A385" s="8" t="str">
        <x:v>ORD-2025384</x:v>
      </x:c>
      <x:c r="B385" s="9" t="n">
        <x:v>45826</x:v>
      </x:c>
      <x:c r="C385" s="8" t="str">
        <x:v>East</x:v>
      </x:c>
      <x:c r="D385" s="8" t="str">
        <x:v>Olivia Wilson</x:v>
      </x:c>
      <x:c r="E385" s="8" t="str">
        <x:v>Nova Group</x:v>
      </x:c>
      <x:c r="F385" s="8" t="str">
        <x:v>Hardware</x:v>
      </x:c>
      <x:c r="G385" s="8" t="str">
        <x:v>Tablet Air</x:v>
      </x:c>
      <x:c r="H385" s="10" t="n">
        <x:v>9</x:v>
      </x:c>
      <x:c r="I385" s="11" t="n">
        <x:v>820</x:v>
      </x:c>
      <x:c r="J385" s="12" t="n">
        <x:v>0.15</x:v>
      </x:c>
      <x:c r="K385" s="11" t="n">
        <x:f>H385*I385*(1-J385)</x:f>
        <x:v>6273</x:v>
      </x:c>
      <x:c r="L385" s="11" t="n">
        <x:f>H385*(I385*0.62)</x:f>
        <x:v>4575.599999999999</x:v>
      </x:c>
      <x:c r="M385" s="11" t="n">
        <x:f>K385-L385</x:f>
        <x:v>1697.4000000000005</x:v>
      </x:c>
      <x:c r="N385" s="8" t="str">
        <x:v>Direct</x:v>
      </x:c>
      <x:c r="O385" s="8" t="str">
        <x:v>Invoice</x:v>
      </x:c>
      <x:c r="P385" s="8" t="str">
        <x:v>Returned</x:v>
      </x:c>
    </x:row>
    <x:row r="386">
      <x:c r="A386" s="8" t="str">
        <x:v>ORD-2025385</x:v>
      </x:c>
      <x:c r="B386" s="9" t="n">
        <x:v>45863</x:v>
      </x:c>
      <x:c r="C386" s="8" t="str">
        <x:v>West</x:v>
      </x:c>
      <x:c r="D386" s="8" t="str">
        <x:v>Olivia Wilson</x:v>
      </x:c>
      <x:c r="E386" s="8" t="str">
        <x:v>Prime Co</x:v>
      </x:c>
      <x:c r="F386" s="8" t="str">
        <x:v>Hardware</x:v>
      </x:c>
      <x:c r="G386" s="8" t="str">
        <x:v>Laptop X</x:v>
      </x:c>
      <x:c r="H386" s="10" t="n">
        <x:v>13</x:v>
      </x:c>
      <x:c r="I386" s="11" t="n">
        <x:v>1500</x:v>
      </x:c>
      <x:c r="J386" s="12" t="n">
        <x:v>0.15</x:v>
      </x:c>
      <x:c r="K386" s="11" t="n">
        <x:f>H386*I386*(1-J386)</x:f>
        <x:v>16575</x:v>
      </x:c>
      <x:c r="L386" s="11" t="n">
        <x:f>H386*(I386*0.62)</x:f>
        <x:v>12090</x:v>
      </x:c>
      <x:c r="M386" s="11" t="n">
        <x:f>K386-L386</x:f>
        <x:v>4485</x:v>
      </x:c>
      <x:c r="N386" s="8" t="str">
        <x:v>Partner</x:v>
      </x:c>
      <x:c r="O386" s="8" t="str">
        <x:v>PayPal</x:v>
      </x:c>
      <x:c r="P386" s="8" t="str">
        <x:v>Shipped</x:v>
      </x:c>
    </x:row>
    <x:row r="387">
      <x:c r="A387" s="8" t="str">
        <x:v>ORD-2025386</x:v>
      </x:c>
      <x:c r="B387" s="9" t="n">
        <x:v>45725</x:v>
      </x:c>
      <x:c r="C387" s="8" t="str">
        <x:v>North</x:v>
      </x:c>
      <x:c r="D387" s="8" t="str">
        <x:v>Noah Davis</x:v>
      </x:c>
      <x:c r="E387" s="8" t="str">
        <x:v>Pioneer Inc</x:v>
      </x:c>
      <x:c r="F387" s="8" t="str">
        <x:v>Hardware</x:v>
      </x:c>
      <x:c r="G387" s="8" t="str">
        <x:v>Laptop X</x:v>
      </x:c>
      <x:c r="H387" s="10" t="n">
        <x:v>14</x:v>
      </x:c>
      <x:c r="I387" s="11" t="n">
        <x:v>1500</x:v>
      </x:c>
      <x:c r="J387" s="12" t="n">
        <x:v>0.1</x:v>
      </x:c>
      <x:c r="K387" s="11" t="n">
        <x:f>H387*I387*(1-J387)</x:f>
        <x:v>18900</x:v>
      </x:c>
      <x:c r="L387" s="11" t="n">
        <x:f>H387*(I387*0.62)</x:f>
        <x:v>13020</x:v>
      </x:c>
      <x:c r="M387" s="11" t="n">
        <x:f>K387-L387</x:f>
        <x:v>5880</x:v>
      </x:c>
      <x:c r="N387" s="8" t="str">
        <x:v>Partner</x:v>
      </x:c>
      <x:c r="O387" s="8" t="str">
        <x:v>PayPal</x:v>
      </x:c>
      <x:c r="P387" s="8" t="str">
        <x:v>Closed Won</x:v>
      </x:c>
    </x:row>
    <x:row r="388">
      <x:c r="A388" s="8" t="str">
        <x:v>ORD-2025387</x:v>
      </x:c>
      <x:c r="B388" s="9" t="n">
        <x:v>45971</x:v>
      </x:c>
      <x:c r="C388" s="8" t="str">
        <x:v>North</x:v>
      </x:c>
      <x:c r="D388" s="8" t="str">
        <x:v>Noah Davis</x:v>
      </x:c>
      <x:c r="E388" s="8" t="str">
        <x:v>NorthStar Inc</x:v>
      </x:c>
      <x:c r="F388" s="8" t="str">
        <x:v>Accessories</x:v>
      </x:c>
      <x:c r="G388" s="8" t="str">
        <x:v>Webcam HD</x:v>
      </x:c>
      <x:c r="H388" s="10" t="n">
        <x:v>16</x:v>
      </x:c>
      <x:c r="I388" s="11" t="n">
        <x:v>110</x:v>
      </x:c>
      <x:c r="J388" s="12" t="n">
        <x:v>0</x:v>
      </x:c>
      <x:c r="K388" s="11" t="n">
        <x:f>H388*I388*(1-J388)</x:f>
        <x:v>1760</x:v>
      </x:c>
      <x:c r="L388" s="11" t="n">
        <x:f>H388*(I388*0.62)</x:f>
        <x:v>1091.2</x:v>
      </x:c>
      <x:c r="M388" s="11" t="n">
        <x:f>K388-L388</x:f>
        <x:v>668.8</x:v>
      </x:c>
      <x:c r="N388" s="8" t="str">
        <x:v>Partner</x:v>
      </x:c>
      <x:c r="O388" s="8" t="str">
        <x:v>PayPal</x:v>
      </x:c>
      <x:c r="P388" s="8" t="str">
        <x:v>Closed Won</x:v>
      </x:c>
    </x:row>
    <x:row r="389">
      <x:c r="A389" s="8" t="str">
        <x:v>ORD-2025388</x:v>
      </x:c>
      <x:c r="B389" s="9" t="n">
        <x:v>45664</x:v>
      </x:c>
      <x:c r="C389" s="8" t="str">
        <x:v>Central</x:v>
      </x:c>
      <x:c r="D389" s="8" t="str">
        <x:v>Emma Martin</x:v>
      </x:c>
      <x:c r="E389" s="8" t="str">
        <x:v>Ironwood LLC</x:v>
      </x:c>
      <x:c r="F389" s="8" t="str">
        <x:v>Services</x:v>
      </x:c>
      <x:c r="G389" s="8" t="str">
        <x:v>Support Plus</x:v>
      </x:c>
      <x:c r="H389" s="10" t="n">
        <x:v>8</x:v>
      </x:c>
      <x:c r="I389" s="11" t="n">
        <x:v>650</x:v>
      </x:c>
      <x:c r="J389" s="12" t="n">
        <x:v>0.15</x:v>
      </x:c>
      <x:c r="K389" s="11" t="n">
        <x:f>H389*I389*(1-J389)</x:f>
        <x:v>4420</x:v>
      </x:c>
      <x:c r="L389" s="11" t="n">
        <x:f>H389*(I389*0.62)</x:f>
        <x:v>3224</x:v>
      </x:c>
      <x:c r="M389" s="11" t="n">
        <x:f>K389-L389</x:f>
        <x:v>1196</x:v>
      </x:c>
      <x:c r="N389" s="8" t="str">
        <x:v>Partner</x:v>
      </x:c>
      <x:c r="O389" s="8" t="str">
        <x:v>Credit Card</x:v>
      </x:c>
      <x:c r="P389" s="8" t="str">
        <x:v>Closed Won</x:v>
      </x:c>
    </x:row>
    <x:row r="390">
      <x:c r="A390" s="8" t="str">
        <x:v>ORD-2025389</x:v>
      </x:c>
      <x:c r="B390" s="9" t="n">
        <x:v>45835</x:v>
      </x:c>
      <x:c r="C390" s="8" t="str">
        <x:v>West</x:v>
      </x:c>
      <x:c r="D390" s="8" t="str">
        <x:v>Noah Davis</x:v>
      </x:c>
      <x:c r="E390" s="8" t="str">
        <x:v>Maple Group</x:v>
      </x:c>
      <x:c r="F390" s="8" t="str">
        <x:v>Hardware</x:v>
      </x:c>
      <x:c r="G390" s="8" t="str">
        <x:v>Monitor 27</x:v>
      </x:c>
      <x:c r="H390" s="10" t="n">
        <x:v>20</x:v>
      </x:c>
      <x:c r="I390" s="11" t="n">
        <x:v>320</x:v>
      </x:c>
      <x:c r="J390" s="12" t="n">
        <x:v>0</x:v>
      </x:c>
      <x:c r="K390" s="11" t="n">
        <x:f>H390*I390*(1-J390)</x:f>
        <x:v>6400</x:v>
      </x:c>
      <x:c r="L390" s="11" t="n">
        <x:f>H390*(I390*0.62)</x:f>
        <x:v>3968</x:v>
      </x:c>
      <x:c r="M390" s="11" t="n">
        <x:f>K390-L390</x:f>
        <x:v>2432</x:v>
      </x:c>
      <x:c r="N390" s="8" t="str">
        <x:v>Direct</x:v>
      </x:c>
      <x:c r="O390" s="8" t="str">
        <x:v>Bank Transfer</x:v>
      </x:c>
      <x:c r="P390" s="8" t="str">
        <x:v>Pending</x:v>
      </x:c>
    </x:row>
    <x:row r="391">
      <x:c r="A391" s="8" t="str">
        <x:v>ORD-2025390</x:v>
      </x:c>
      <x:c r="B391" s="9" t="n">
        <x:v>45742</x:v>
      </x:c>
      <x:c r="C391" s="8" t="str">
        <x:v>North</x:v>
      </x:c>
      <x:c r="D391" s="8" t="str">
        <x:v>Olivia Wilson</x:v>
      </x:c>
      <x:c r="E391" s="8" t="str">
        <x:v>BrightPath Inc</x:v>
      </x:c>
      <x:c r="F391" s="8" t="str">
        <x:v>Accessories</x:v>
      </x:c>
      <x:c r="G391" s="8" t="str">
        <x:v>Headset</x:v>
      </x:c>
      <x:c r="H391" s="10" t="n">
        <x:v>8</x:v>
      </x:c>
      <x:c r="I391" s="11" t="n">
        <x:v>85</x:v>
      </x:c>
      <x:c r="J391" s="12" t="n">
        <x:v>0</x:v>
      </x:c>
      <x:c r="K391" s="11" t="n">
        <x:f>H391*I391*(1-J391)</x:f>
        <x:v>680</x:v>
      </x:c>
      <x:c r="L391" s="11" t="n">
        <x:f>H391*(I391*0.62)</x:f>
        <x:v>421.6</x:v>
      </x:c>
      <x:c r="M391" s="11" t="n">
        <x:f>K391-L391</x:f>
        <x:v>258.4</x:v>
      </x:c>
      <x:c r="N391" s="8" t="str">
        <x:v>Partner</x:v>
      </x:c>
      <x:c r="O391" s="8" t="str">
        <x:v>Credit Card</x:v>
      </x:c>
      <x:c r="P391" s="8" t="str">
        <x:v>Pending</x:v>
      </x:c>
    </x:row>
    <x:row r="392">
      <x:c r="A392" s="8" t="str">
        <x:v>ORD-2025391</x:v>
      </x:c>
      <x:c r="B392" s="9" t="n">
        <x:v>45778</x:v>
      </x:c>
      <x:c r="C392" s="8" t="str">
        <x:v>North</x:v>
      </x:c>
      <x:c r="D392" s="8" t="str">
        <x:v>Olivia Wilson</x:v>
      </x:c>
      <x:c r="E392" s="8" t="str">
        <x:v>GoldenGate LLC</x:v>
      </x:c>
      <x:c r="F392" s="8" t="str">
        <x:v>Accessories</x:v>
      </x:c>
      <x:c r="G392" s="8" t="str">
        <x:v>Headset</x:v>
      </x:c>
      <x:c r="H392" s="10" t="n">
        <x:v>19</x:v>
      </x:c>
      <x:c r="I392" s="11" t="n">
        <x:v>85</x:v>
      </x:c>
      <x:c r="J392" s="12" t="n">
        <x:v>0.05</x:v>
      </x:c>
      <x:c r="K392" s="11" t="n">
        <x:f>H392*I392*(1-J392)</x:f>
        <x:v>1534.25</x:v>
      </x:c>
      <x:c r="L392" s="11" t="n">
        <x:f>H392*(I392*0.62)</x:f>
        <x:v>1001.3000000000001</x:v>
      </x:c>
      <x:c r="M392" s="11" t="n">
        <x:f>K392-L392</x:f>
        <x:v>532.9499999999999</x:v>
      </x:c>
      <x:c r="N392" s="8" t="str">
        <x:v>Direct</x:v>
      </x:c>
      <x:c r="O392" s="8" t="str">
        <x:v>PayPal</x:v>
      </x:c>
      <x:c r="P392" s="8" t="str">
        <x:v>Closed Won</x:v>
      </x:c>
    </x:row>
    <x:row r="393">
      <x:c r="A393" s="8" t="str">
        <x:v>ORD-2025392</x:v>
      </x:c>
      <x:c r="B393" s="9" t="n">
        <x:v>45992</x:v>
      </x:c>
      <x:c r="C393" s="8" t="str">
        <x:v>North</x:v>
      </x:c>
      <x:c r="D393" s="8" t="str">
        <x:v>Liam Chen</x:v>
      </x:c>
      <x:c r="E393" s="8" t="str">
        <x:v>SilverLine Group</x:v>
      </x:c>
      <x:c r="F393" s="8" t="str">
        <x:v>Software</x:v>
      </x:c>
      <x:c r="G393" s="8" t="str">
        <x:v>ProjectFlow</x:v>
      </x:c>
      <x:c r="H393" s="10" t="n">
        <x:v>14</x:v>
      </x:c>
      <x:c r="I393" s="11" t="n">
        <x:v>700</x:v>
      </x:c>
      <x:c r="J393" s="12" t="n">
        <x:v>0</x:v>
      </x:c>
      <x:c r="K393" s="11" t="n">
        <x:f>H393*I393*(1-J393)</x:f>
        <x:v>9800</x:v>
      </x:c>
      <x:c r="L393" s="11" t="n">
        <x:f>H393*(I393*0.62)</x:f>
        <x:v>6076</x:v>
      </x:c>
      <x:c r="M393" s="11" t="n">
        <x:f>K393-L393</x:f>
        <x:v>3724</x:v>
      </x:c>
      <x:c r="N393" s="8" t="str">
        <x:v>Online</x:v>
      </x:c>
      <x:c r="O393" s="8" t="str">
        <x:v>Credit Card</x:v>
      </x:c>
      <x:c r="P393" s="8" t="str">
        <x:v>Returned</x:v>
      </x:c>
    </x:row>
    <x:row r="394">
      <x:c r="A394" s="8" t="str">
        <x:v>ORD-2025393</x:v>
      </x:c>
      <x:c r="B394" s="9" t="n">
        <x:v>45993</x:v>
      </x:c>
      <x:c r="C394" s="8" t="str">
        <x:v>West</x:v>
      </x:c>
      <x:c r="D394" s="8" t="str">
        <x:v>Sophia Kim</x:v>
      </x:c>
      <x:c r="E394" s="8" t="str">
        <x:v>Harbor Co</x:v>
      </x:c>
      <x:c r="F394" s="8" t="str">
        <x:v>Services</x:v>
      </x:c>
      <x:c r="G394" s="8" t="str">
        <x:v>Training</x:v>
      </x:c>
      <x:c r="H394" s="10" t="n">
        <x:v>2</x:v>
      </x:c>
      <x:c r="I394" s="11" t="n">
        <x:v>900</x:v>
      </x:c>
      <x:c r="J394" s="12" t="n">
        <x:v>0.2</x:v>
      </x:c>
      <x:c r="K394" s="11" t="n">
        <x:f>H394*I394*(1-J394)</x:f>
        <x:v>1440</x:v>
      </x:c>
      <x:c r="L394" s="11" t="n">
        <x:f>H394*(I394*0.62)</x:f>
        <x:v>1116</x:v>
      </x:c>
      <x:c r="M394" s="11" t="n">
        <x:f>K394-L394</x:f>
        <x:v>324</x:v>
      </x:c>
      <x:c r="N394" s="8" t="str">
        <x:v>Direct</x:v>
      </x:c>
      <x:c r="O394" s="8" t="str">
        <x:v>PayPal</x:v>
      </x:c>
      <x:c r="P394" s="8" t="str">
        <x:v>Closed Won</x:v>
      </x:c>
    </x:row>
    <x:row r="395">
      <x:c r="A395" s="8" t="str">
        <x:v>ORD-2025394</x:v>
      </x:c>
      <x:c r="B395" s="9" t="n">
        <x:v>45889</x:v>
      </x:c>
      <x:c r="C395" s="8" t="str">
        <x:v>North</x:v>
      </x:c>
      <x:c r="D395" s="8" t="str">
        <x:v>Liam Chen</x:v>
      </x:c>
      <x:c r="E395" s="8" t="str">
        <x:v>Cedar LLC</x:v>
      </x:c>
      <x:c r="F395" s="8" t="str">
        <x:v>Accessories</x:v>
      </x:c>
      <x:c r="G395" s="8" t="str">
        <x:v>Webcam HD</x:v>
      </x:c>
      <x:c r="H395" s="10" t="n">
        <x:v>1</x:v>
      </x:c>
      <x:c r="I395" s="11" t="n">
        <x:v>110</x:v>
      </x:c>
      <x:c r="J395" s="12" t="n">
        <x:v>0</x:v>
      </x:c>
      <x:c r="K395" s="11" t="n">
        <x:f>H395*I395*(1-J395)</x:f>
        <x:v>110</x:v>
      </x:c>
      <x:c r="L395" s="11" t="n">
        <x:f>H395*(I395*0.62)</x:f>
        <x:v>68.2</x:v>
      </x:c>
      <x:c r="M395" s="11" t="n">
        <x:f>K395-L395</x:f>
        <x:v>41.8</x:v>
      </x:c>
      <x:c r="N395" s="8" t="str">
        <x:v>Partner</x:v>
      </x:c>
      <x:c r="O395" s="8" t="str">
        <x:v>Invoice</x:v>
      </x:c>
      <x:c r="P395" s="8" t="str">
        <x:v>Pending</x:v>
      </x:c>
    </x:row>
    <x:row r="396">
      <x:c r="A396" s="8" t="str">
        <x:v>ORD-2025395</x:v>
      </x:c>
      <x:c r="B396" s="9" t="n">
        <x:v>45681</x:v>
      </x:c>
      <x:c r="C396" s="8" t="str">
        <x:v>South</x:v>
      </x:c>
      <x:c r="D396" s="8" t="str">
        <x:v>Olivia Wilson</x:v>
      </x:c>
      <x:c r="E396" s="8" t="str">
        <x:v>Urban Inc</x:v>
      </x:c>
      <x:c r="F396" s="8" t="str">
        <x:v>Services</x:v>
      </x:c>
      <x:c r="G396" s="8" t="str">
        <x:v>Implementation</x:v>
      </x:c>
      <x:c r="H396" s="10" t="n">
        <x:v>23</x:v>
      </x:c>
      <x:c r="I396" s="11" t="n">
        <x:v>2500</x:v>
      </x:c>
      <x:c r="J396" s="12" t="n">
        <x:v>0.15</x:v>
      </x:c>
      <x:c r="K396" s="11" t="n">
        <x:f>H396*I396*(1-J396)</x:f>
        <x:v>48875</x:v>
      </x:c>
      <x:c r="L396" s="11" t="n">
        <x:f>H396*(I396*0.62)</x:f>
        <x:v>35650</x:v>
      </x:c>
      <x:c r="M396" s="11" t="n">
        <x:f>K396-L396</x:f>
        <x:v>13225</x:v>
      </x:c>
      <x:c r="N396" s="8" t="str">
        <x:v>Online</x:v>
      </x:c>
      <x:c r="O396" s="8" t="str">
        <x:v>PayPal</x:v>
      </x:c>
      <x:c r="P396" s="8" t="str">
        <x:v>Closed Won</x:v>
      </x:c>
    </x:row>
    <x:row r="397">
      <x:c r="A397" s="8" t="str">
        <x:v>ORD-2025396</x:v>
      </x:c>
      <x:c r="B397" s="9" t="n">
        <x:v>45719</x:v>
      </x:c>
      <x:c r="C397" s="8" t="str">
        <x:v>West</x:v>
      </x:c>
      <x:c r="D397" s="8" t="str">
        <x:v>Mia Johnson</x:v>
      </x:c>
      <x:c r="E397" s="8" t="str">
        <x:v>GoldenGate Co</x:v>
      </x:c>
      <x:c r="F397" s="8" t="str">
        <x:v>Hardware</x:v>
      </x:c>
      <x:c r="G397" s="8" t="str">
        <x:v>Tablet Air</x:v>
      </x:c>
      <x:c r="H397" s="10" t="n">
        <x:v>7</x:v>
      </x:c>
      <x:c r="I397" s="11" t="n">
        <x:v>820</x:v>
      </x:c>
      <x:c r="J397" s="12" t="n">
        <x:v>0.15</x:v>
      </x:c>
      <x:c r="K397" s="11" t="n">
        <x:f>H397*I397*(1-J397)</x:f>
        <x:v>4879</x:v>
      </x:c>
      <x:c r="L397" s="11" t="n">
        <x:f>H397*(I397*0.62)</x:f>
        <x:v>3558.7999999999997</x:v>
      </x:c>
      <x:c r="M397" s="11" t="n">
        <x:f>K397-L397</x:f>
        <x:v>1320.2000000000003</x:v>
      </x:c>
      <x:c r="N397" s="8" t="str">
        <x:v>Partner</x:v>
      </x:c>
      <x:c r="O397" s="8" t="str">
        <x:v>Credit Card</x:v>
      </x:c>
      <x:c r="P397" s="8" t="str">
        <x:v>Shipped</x:v>
      </x:c>
    </x:row>
    <x:row r="398">
      <x:c r="A398" s="8" t="str">
        <x:v>ORD-2025397</x:v>
      </x:c>
      <x:c r="B398" s="9" t="n">
        <x:v>45888</x:v>
      </x:c>
      <x:c r="C398" s="8" t="str">
        <x:v>West</x:v>
      </x:c>
      <x:c r="D398" s="8" t="str">
        <x:v>Emma Martin</x:v>
      </x:c>
      <x:c r="E398" s="8" t="str">
        <x:v>Southridge LLC</x:v>
      </x:c>
      <x:c r="F398" s="8" t="str">
        <x:v>Software</x:v>
      </x:c>
      <x:c r="G398" s="8" t="str">
        <x:v>CRM Pro</x:v>
      </x:c>
      <x:c r="H398" s="10" t="n">
        <x:v>5</x:v>
      </x:c>
      <x:c r="I398" s="11" t="n">
        <x:v>1200</x:v>
      </x:c>
      <x:c r="J398" s="12" t="n">
        <x:v>0.05</x:v>
      </x:c>
      <x:c r="K398" s="11" t="n">
        <x:f>H398*I398*(1-J398)</x:f>
        <x:v>5700</x:v>
      </x:c>
      <x:c r="L398" s="11" t="n">
        <x:f>H398*(I398*0.62)</x:f>
        <x:v>3720</x:v>
      </x:c>
      <x:c r="M398" s="11" t="n">
        <x:f>K398-L398</x:f>
        <x:v>1980</x:v>
      </x:c>
      <x:c r="N398" s="8" t="str">
        <x:v>Direct</x:v>
      </x:c>
      <x:c r="O398" s="8" t="str">
        <x:v>Credit Card</x:v>
      </x:c>
      <x:c r="P398" s="8" t="str">
        <x:v>Shipped</x:v>
      </x:c>
    </x:row>
    <x:row r="399">
      <x:c r="A399" s="8" t="str">
        <x:v>ORD-2025398</x:v>
      </x:c>
      <x:c r="B399" s="9" t="n">
        <x:v>45918</x:v>
      </x:c>
      <x:c r="C399" s="8" t="str">
        <x:v>South</x:v>
      </x:c>
      <x:c r="D399" s="8" t="str">
        <x:v>Emma Martin</x:v>
      </x:c>
      <x:c r="E399" s="8" t="str">
        <x:v>GreenLeaf Co</x:v>
      </x:c>
      <x:c r="F399" s="8" t="str">
        <x:v>Accessories</x:v>
      </x:c>
      <x:c r="G399" s="8" t="str">
        <x:v>Headset</x:v>
      </x:c>
      <x:c r="H399" s="10" t="n">
        <x:v>24</x:v>
      </x:c>
      <x:c r="I399" s="11" t="n">
        <x:v>85</x:v>
      </x:c>
      <x:c r="J399" s="12" t="n">
        <x:v>0.2</x:v>
      </x:c>
      <x:c r="K399" s="11" t="n">
        <x:f>H399*I399*(1-J399)</x:f>
        <x:v>1632</x:v>
      </x:c>
      <x:c r="L399" s="11" t="n">
        <x:f>H399*(I399*0.62)</x:f>
        <x:v>1264.8000000000002</x:v>
      </x:c>
      <x:c r="M399" s="11" t="n">
        <x:f>K399-L399</x:f>
        <x:v>367.1999999999998</x:v>
      </x:c>
      <x:c r="N399" s="8" t="str">
        <x:v>Direct</x:v>
      </x:c>
      <x:c r="O399" s="8" t="str">
        <x:v>Credit Card</x:v>
      </x:c>
      <x:c r="P399" s="8" t="str">
        <x:v>Closed Won</x:v>
      </x:c>
    </x:row>
    <x:row r="400">
      <x:c r="A400" s="8" t="str">
        <x:v>ORD-2025399</x:v>
      </x:c>
      <x:c r="B400" s="9" t="n">
        <x:v>45872</x:v>
      </x:c>
      <x:c r="C400" s="8" t="str">
        <x:v>Central</x:v>
      </x:c>
      <x:c r="D400" s="8" t="str">
        <x:v>Mia Johnson</x:v>
      </x:c>
      <x:c r="E400" s="8" t="str">
        <x:v>Prime Group</x:v>
      </x:c>
      <x:c r="F400" s="8" t="str">
        <x:v>Services</x:v>
      </x:c>
      <x:c r="G400" s="8" t="str">
        <x:v>Consulting Day</x:v>
      </x:c>
      <x:c r="H400" s="10" t="n">
        <x:v>13</x:v>
      </x:c>
      <x:c r="I400" s="11" t="n">
        <x:v>1400</x:v>
      </x:c>
      <x:c r="J400" s="12" t="n">
        <x:v>0</x:v>
      </x:c>
      <x:c r="K400" s="11" t="n">
        <x:f>H400*I400*(1-J400)</x:f>
        <x:v>18200</x:v>
      </x:c>
      <x:c r="L400" s="11" t="n">
        <x:f>H400*(I400*0.62)</x:f>
        <x:v>11284</x:v>
      </x:c>
      <x:c r="M400" s="11" t="n">
        <x:f>K400-L400</x:f>
        <x:v>6916</x:v>
      </x:c>
      <x:c r="N400" s="8" t="str">
        <x:v>Partner</x:v>
      </x:c>
      <x:c r="O400" s="8" t="str">
        <x:v>PayPal</x:v>
      </x:c>
      <x:c r="P400" s="8" t="str">
        <x:v>Returned</x:v>
      </x:c>
    </x:row>
    <x:row r="401">
      <x:c r="A401" s="8" t="str">
        <x:v>ORD-2025400</x:v>
      </x:c>
      <x:c r="B401" s="9" t="n">
        <x:v>45966</x:v>
      </x:c>
      <x:c r="C401" s="8" t="str">
        <x:v>Central</x:v>
      </x:c>
      <x:c r="D401" s="8" t="str">
        <x:v>Ethan Garcia</x:v>
      </x:c>
      <x:c r="E401" s="8" t="str">
        <x:v>Maple Co</x:v>
      </x:c>
      <x:c r="F401" s="8" t="str">
        <x:v>Hardware</x:v>
      </x:c>
      <x:c r="G401" s="8" t="str">
        <x:v>Monitor 27</x:v>
      </x:c>
      <x:c r="H401" s="10" t="n">
        <x:v>11</x:v>
      </x:c>
      <x:c r="I401" s="11" t="n">
        <x:v>320</x:v>
      </x:c>
      <x:c r="J401" s="12" t="n">
        <x:v>0.15</x:v>
      </x:c>
      <x:c r="K401" s="11" t="n">
        <x:f>H401*I401*(1-J401)</x:f>
        <x:v>2992</x:v>
      </x:c>
      <x:c r="L401" s="11" t="n">
        <x:f>H401*(I401*0.62)</x:f>
        <x:v>2182.4</x:v>
      </x:c>
      <x:c r="M401" s="11" t="n">
        <x:f>K401-L401</x:f>
        <x:v>809.5999999999999</x:v>
      </x:c>
      <x:c r="N401" s="8" t="str">
        <x:v>Online</x:v>
      </x:c>
      <x:c r="O401" s="8" t="str">
        <x:v>Bank Transfer</x:v>
      </x:c>
      <x:c r="P401" s="8" t="str">
        <x:v>Closed Won</x:v>
      </x:c>
    </x:row>
    <x:row r="402">
      <x:c r="A402" s="8" t="str">
        <x:v>ORD-2025401</x:v>
      </x:c>
      <x:c r="B402" s="9" t="n">
        <x:v>46002</x:v>
      </x:c>
      <x:c r="C402" s="8" t="str">
        <x:v>South</x:v>
      </x:c>
      <x:c r="D402" s="8" t="str">
        <x:v>Noah Davis</x:v>
      </x:c>
      <x:c r="E402" s="8" t="str">
        <x:v>Southridge LLC</x:v>
      </x:c>
      <x:c r="F402" s="8" t="str">
        <x:v>Services</x:v>
      </x:c>
      <x:c r="G402" s="8" t="str">
        <x:v>Support Plus</x:v>
      </x:c>
      <x:c r="H402" s="10" t="n">
        <x:v>18</x:v>
      </x:c>
      <x:c r="I402" s="11" t="n">
        <x:v>650</x:v>
      </x:c>
      <x:c r="J402" s="12" t="n">
        <x:v>0.15</x:v>
      </x:c>
      <x:c r="K402" s="11" t="n">
        <x:f>H402*I402*(1-J402)</x:f>
        <x:v>9945</x:v>
      </x:c>
      <x:c r="L402" s="11" t="n">
        <x:f>H402*(I402*0.62)</x:f>
        <x:v>7254</x:v>
      </x:c>
      <x:c r="M402" s="11" t="n">
        <x:f>K402-L402</x:f>
        <x:v>2691</x:v>
      </x:c>
      <x:c r="N402" s="8" t="str">
        <x:v>Online</x:v>
      </x:c>
      <x:c r="O402" s="8" t="str">
        <x:v>Invoice</x:v>
      </x:c>
      <x:c r="P402" s="8" t="str">
        <x:v>Shipped</x:v>
      </x:c>
    </x:row>
    <x:row r="403">
      <x:c r="A403" s="8" t="str">
        <x:v>ORD-2025402</x:v>
      </x:c>
      <x:c r="B403" s="9" t="n">
        <x:v>45956</x:v>
      </x:c>
      <x:c r="C403" s="8" t="str">
        <x:v>Central</x:v>
      </x:c>
      <x:c r="D403" s="8" t="str">
        <x:v>Lucas Brown</x:v>
      </x:c>
      <x:c r="E403" s="8" t="str">
        <x:v>Maple LLC</x:v>
      </x:c>
      <x:c r="F403" s="8" t="str">
        <x:v>Services</x:v>
      </x:c>
      <x:c r="G403" s="8" t="str">
        <x:v>Consulting Day</x:v>
      </x:c>
      <x:c r="H403" s="10" t="n">
        <x:v>10</x:v>
      </x:c>
      <x:c r="I403" s="11" t="n">
        <x:v>1400</x:v>
      </x:c>
      <x:c r="J403" s="12" t="n">
        <x:v>0.2</x:v>
      </x:c>
      <x:c r="K403" s="11" t="n">
        <x:f>H403*I403*(1-J403)</x:f>
        <x:v>11200</x:v>
      </x:c>
      <x:c r="L403" s="11" t="n">
        <x:f>H403*(I403*0.62)</x:f>
        <x:v>8680</x:v>
      </x:c>
      <x:c r="M403" s="11" t="n">
        <x:f>K403-L403</x:f>
        <x:v>2520</x:v>
      </x:c>
      <x:c r="N403" s="8" t="str">
        <x:v>Partner</x:v>
      </x:c>
      <x:c r="O403" s="8" t="str">
        <x:v>Credit Card</x:v>
      </x:c>
      <x:c r="P403" s="8" t="str">
        <x:v>Pending</x:v>
      </x:c>
    </x:row>
    <x:row r="404">
      <x:c r="A404" s="8" t="str">
        <x:v>ORD-2025403</x:v>
      </x:c>
      <x:c r="B404" s="9" t="n">
        <x:v>45732</x:v>
      </x:c>
      <x:c r="C404" s="8" t="str">
        <x:v>North</x:v>
      </x:c>
      <x:c r="D404" s="8" t="str">
        <x:v>Ava Patel</x:v>
      </x:c>
      <x:c r="E404" s="8" t="str">
        <x:v>Nexus Inc</x:v>
      </x:c>
      <x:c r="F404" s="8" t="str">
        <x:v>Software</x:v>
      </x:c>
      <x:c r="G404" s="8" t="str">
        <x:v>ProjectFlow</x:v>
      </x:c>
      <x:c r="H404" s="10" t="n">
        <x:v>9</x:v>
      </x:c>
      <x:c r="I404" s="11" t="n">
        <x:v>700</x:v>
      </x:c>
      <x:c r="J404" s="12" t="n">
        <x:v>0.2</x:v>
      </x:c>
      <x:c r="K404" s="11" t="n">
        <x:f>H404*I404*(1-J404)</x:f>
        <x:v>5040</x:v>
      </x:c>
      <x:c r="L404" s="11" t="n">
        <x:f>H404*(I404*0.62)</x:f>
        <x:v>3906</x:v>
      </x:c>
      <x:c r="M404" s="11" t="n">
        <x:f>K404-L404</x:f>
        <x:v>1134</x:v>
      </x:c>
      <x:c r="N404" s="8" t="str">
        <x:v>Direct</x:v>
      </x:c>
      <x:c r="O404" s="8" t="str">
        <x:v>Invoice</x:v>
      </x:c>
      <x:c r="P404" s="8" t="str">
        <x:v>Shipped</x:v>
      </x:c>
    </x:row>
    <x:row r="405">
      <x:c r="A405" s="8" t="str">
        <x:v>ORD-2025404</x:v>
      </x:c>
      <x:c r="B405" s="9" t="n">
        <x:v>46011</x:v>
      </x:c>
      <x:c r="C405" s="8" t="str">
        <x:v>East</x:v>
      </x:c>
      <x:c r="D405" s="8" t="str">
        <x:v>Mia Johnson</x:v>
      </x:c>
      <x:c r="E405" s="8" t="str">
        <x:v>Maple Inc</x:v>
      </x:c>
      <x:c r="F405" s="8" t="str">
        <x:v>Hardware</x:v>
      </x:c>
      <x:c r="G405" s="8" t="str">
        <x:v>Laptop X</x:v>
      </x:c>
      <x:c r="H405" s="10" t="n">
        <x:v>2</x:v>
      </x:c>
      <x:c r="I405" s="11" t="n">
        <x:v>1500</x:v>
      </x:c>
      <x:c r="J405" s="12" t="n">
        <x:v>0</x:v>
      </x:c>
      <x:c r="K405" s="11" t="n">
        <x:f>H405*I405*(1-J405)</x:f>
        <x:v>3000</x:v>
      </x:c>
      <x:c r="L405" s="11" t="n">
        <x:f>H405*(I405*0.62)</x:f>
        <x:v>1860</x:v>
      </x:c>
      <x:c r="M405" s="11" t="n">
        <x:f>K405-L405</x:f>
        <x:v>1140</x:v>
      </x:c>
      <x:c r="N405" s="8" t="str">
        <x:v>Partner</x:v>
      </x:c>
      <x:c r="O405" s="8" t="str">
        <x:v>Credit Card</x:v>
      </x:c>
      <x:c r="P405" s="8" t="str">
        <x:v>Shipped</x:v>
      </x:c>
    </x:row>
    <x:row r="406">
      <x:c r="A406" s="8" t="str">
        <x:v>ORD-2025405</x:v>
      </x:c>
      <x:c r="B406" s="9" t="n">
        <x:v>45779</x:v>
      </x:c>
      <x:c r="C406" s="8" t="str">
        <x:v>Central</x:v>
      </x:c>
      <x:c r="D406" s="8" t="str">
        <x:v>Ethan Garcia</x:v>
      </x:c>
      <x:c r="E406" s="8" t="str">
        <x:v>Summit Co</x:v>
      </x:c>
      <x:c r="F406" s="8" t="str">
        <x:v>Hardware</x:v>
      </x:c>
      <x:c r="G406" s="8" t="str">
        <x:v>Monitor 27</x:v>
      </x:c>
      <x:c r="H406" s="10" t="n">
        <x:v>13</x:v>
      </x:c>
      <x:c r="I406" s="11" t="n">
        <x:v>320</x:v>
      </x:c>
      <x:c r="J406" s="12" t="n">
        <x:v>0.05</x:v>
      </x:c>
      <x:c r="K406" s="11" t="n">
        <x:f>H406*I406*(1-J406)</x:f>
        <x:v>3952</x:v>
      </x:c>
      <x:c r="L406" s="11" t="n">
        <x:f>H406*(I406*0.62)</x:f>
        <x:v>2579.2000000000003</x:v>
      </x:c>
      <x:c r="M406" s="11" t="n">
        <x:f>K406-L406</x:f>
        <x:v>1372.7999999999997</x:v>
      </x:c>
      <x:c r="N406" s="8" t="str">
        <x:v>Partner</x:v>
      </x:c>
      <x:c r="O406" s="8" t="str">
        <x:v>Invoice</x:v>
      </x:c>
      <x:c r="P406" s="8" t="str">
        <x:v>Cancelled</x:v>
      </x:c>
    </x:row>
    <x:row r="407">
      <x:c r="A407" s="8" t="str">
        <x:v>ORD-2025406</x:v>
      </x:c>
      <x:c r="B407" s="9" t="n">
        <x:v>45786</x:v>
      </x:c>
      <x:c r="C407" s="8" t="str">
        <x:v>South</x:v>
      </x:c>
      <x:c r="D407" s="8" t="str">
        <x:v>Emma Martin</x:v>
      </x:c>
      <x:c r="E407" s="8" t="str">
        <x:v>GoldenGate LLC</x:v>
      </x:c>
      <x:c r="F407" s="8" t="str">
        <x:v>Software</x:v>
      </x:c>
      <x:c r="G407" s="8" t="str">
        <x:v>CRM Pro</x:v>
      </x:c>
      <x:c r="H407" s="10" t="n">
        <x:v>8</x:v>
      </x:c>
      <x:c r="I407" s="11" t="n">
        <x:v>1200</x:v>
      </x:c>
      <x:c r="J407" s="12" t="n">
        <x:v>0.15</x:v>
      </x:c>
      <x:c r="K407" s="11" t="n">
        <x:f>H407*I407*(1-J407)</x:f>
        <x:v>8160</x:v>
      </x:c>
      <x:c r="L407" s="11" t="n">
        <x:f>H407*(I407*0.62)</x:f>
        <x:v>5952</x:v>
      </x:c>
      <x:c r="M407" s="11" t="n">
        <x:f>K407-L407</x:f>
        <x:v>2208</x:v>
      </x:c>
      <x:c r="N407" s="8" t="str">
        <x:v>Online</x:v>
      </x:c>
      <x:c r="O407" s="8" t="str">
        <x:v>Invoice</x:v>
      </x:c>
      <x:c r="P407" s="8" t="str">
        <x:v>Shipped</x:v>
      </x:c>
    </x:row>
    <x:row r="408">
      <x:c r="A408" s="8" t="str">
        <x:v>ORD-2025407</x:v>
      </x:c>
      <x:c r="B408" s="9" t="n">
        <x:v>45808</x:v>
      </x:c>
      <x:c r="C408" s="8" t="str">
        <x:v>West</x:v>
      </x:c>
      <x:c r="D408" s="8" t="str">
        <x:v>Noah Davis</x:v>
      </x:c>
      <x:c r="E408" s="8" t="str">
        <x:v>BlueSky Inc</x:v>
      </x:c>
      <x:c r="F408" s="8" t="str">
        <x:v>Hardware</x:v>
      </x:c>
      <x:c r="G408" s="8" t="str">
        <x:v>Tablet Air</x:v>
      </x:c>
      <x:c r="H408" s="10" t="n">
        <x:v>6</x:v>
      </x:c>
      <x:c r="I408" s="11" t="n">
        <x:v>820</x:v>
      </x:c>
      <x:c r="J408" s="12" t="n">
        <x:v>0</x:v>
      </x:c>
      <x:c r="K408" s="11" t="n">
        <x:f>H408*I408*(1-J408)</x:f>
        <x:v>4920</x:v>
      </x:c>
      <x:c r="L408" s="11" t="n">
        <x:f>H408*(I408*0.62)</x:f>
        <x:v>3050.3999999999996</x:v>
      </x:c>
      <x:c r="M408" s="11" t="n">
        <x:f>K408-L408</x:f>
        <x:v>1869.6000000000004</x:v>
      </x:c>
      <x:c r="N408" s="8" t="str">
        <x:v>Online</x:v>
      </x:c>
      <x:c r="O408" s="8" t="str">
        <x:v>Credit Card</x:v>
      </x:c>
      <x:c r="P408" s="8" t="str">
        <x:v>Closed Won</x:v>
      </x:c>
    </x:row>
    <x:row r="409">
      <x:c r="A409" s="8" t="str">
        <x:v>ORD-2025408</x:v>
      </x:c>
      <x:c r="B409" s="9" t="n">
        <x:v>45942</x:v>
      </x:c>
      <x:c r="C409" s="8" t="str">
        <x:v>East</x:v>
      </x:c>
      <x:c r="D409" s="8" t="str">
        <x:v>Noah Davis</x:v>
      </x:c>
      <x:c r="E409" s="8" t="str">
        <x:v>GreenLeaf LLC</x:v>
      </x:c>
      <x:c r="F409" s="8" t="str">
        <x:v>Accessories</x:v>
      </x:c>
      <x:c r="G409" s="8" t="str">
        <x:v>Webcam HD</x:v>
      </x:c>
      <x:c r="H409" s="10" t="n">
        <x:v>19</x:v>
      </x:c>
      <x:c r="I409" s="11" t="n">
        <x:v>110</x:v>
      </x:c>
      <x:c r="J409" s="12" t="n">
        <x:v>0.2</x:v>
      </x:c>
      <x:c r="K409" s="11" t="n">
        <x:f>H409*I409*(1-J409)</x:f>
        <x:v>1672</x:v>
      </x:c>
      <x:c r="L409" s="11" t="n">
        <x:f>H409*(I409*0.62)</x:f>
        <x:v>1295.8</x:v>
      </x:c>
      <x:c r="M409" s="11" t="n">
        <x:f>K409-L409</x:f>
        <x:v>376.20000000000005</x:v>
      </x:c>
      <x:c r="N409" s="8" t="str">
        <x:v>Partner</x:v>
      </x:c>
      <x:c r="O409" s="8" t="str">
        <x:v>Credit Card</x:v>
      </x:c>
      <x:c r="P409" s="8" t="str">
        <x:v>Closed Won</x:v>
      </x:c>
    </x:row>
    <x:row r="410">
      <x:c r="A410" s="8" t="str">
        <x:v>ORD-2025409</x:v>
      </x:c>
      <x:c r="B410" s="9" t="n">
        <x:v>45736</x:v>
      </x:c>
      <x:c r="C410" s="8" t="str">
        <x:v>East</x:v>
      </x:c>
      <x:c r="D410" s="8" t="str">
        <x:v>Emma Martin</x:v>
      </x:c>
      <x:c r="E410" s="8" t="str">
        <x:v>Summit Co</x:v>
      </x:c>
      <x:c r="F410" s="8" t="str">
        <x:v>Hardware</x:v>
      </x:c>
      <x:c r="G410" s="8" t="str">
        <x:v>Laptop X</x:v>
      </x:c>
      <x:c r="H410" s="10" t="n">
        <x:v>25</x:v>
      </x:c>
      <x:c r="I410" s="11" t="n">
        <x:v>1500</x:v>
      </x:c>
      <x:c r="J410" s="12" t="n">
        <x:v>0.15</x:v>
      </x:c>
      <x:c r="K410" s="11" t="n">
        <x:f>H410*I410*(1-J410)</x:f>
        <x:v>31875</x:v>
      </x:c>
      <x:c r="L410" s="11" t="n">
        <x:f>H410*(I410*0.62)</x:f>
        <x:v>23250</x:v>
      </x:c>
      <x:c r="M410" s="11" t="n">
        <x:f>K410-L410</x:f>
        <x:v>8625</x:v>
      </x:c>
      <x:c r="N410" s="8" t="str">
        <x:v>Online</x:v>
      </x:c>
      <x:c r="O410" s="8" t="str">
        <x:v>Invoice</x:v>
      </x:c>
      <x:c r="P410" s="8" t="str">
        <x:v>Pending</x:v>
      </x:c>
    </x:row>
    <x:row r="411">
      <x:c r="A411" s="8" t="str">
        <x:v>ORD-2025410</x:v>
      </x:c>
      <x:c r="B411" s="9" t="n">
        <x:v>46020</x:v>
      </x:c>
      <x:c r="C411" s="8" t="str">
        <x:v>East</x:v>
      </x:c>
      <x:c r="D411" s="8" t="str">
        <x:v>Mason Lee</x:v>
      </x:c>
      <x:c r="E411" s="8" t="str">
        <x:v>Cedar LLC</x:v>
      </x:c>
      <x:c r="F411" s="8" t="str">
        <x:v>Services</x:v>
      </x:c>
      <x:c r="G411" s="8" t="str">
        <x:v>Implementation</x:v>
      </x:c>
      <x:c r="H411" s="10" t="n">
        <x:v>6</x:v>
      </x:c>
      <x:c r="I411" s="11" t="n">
        <x:v>2500</x:v>
      </x:c>
      <x:c r="J411" s="12" t="n">
        <x:v>0.1</x:v>
      </x:c>
      <x:c r="K411" s="11" t="n">
        <x:f>H411*I411*(1-J411)</x:f>
        <x:v>13500</x:v>
      </x:c>
      <x:c r="L411" s="11" t="n">
        <x:f>H411*(I411*0.62)</x:f>
        <x:v>9300</x:v>
      </x:c>
      <x:c r="M411" s="11" t="n">
        <x:f>K411-L411</x:f>
        <x:v>4200</x:v>
      </x:c>
      <x:c r="N411" s="8" t="str">
        <x:v>Direct</x:v>
      </x:c>
      <x:c r="O411" s="8" t="str">
        <x:v>Bank Transfer</x:v>
      </x:c>
      <x:c r="P411" s="8" t="str">
        <x:v>Closed Won</x:v>
      </x:c>
    </x:row>
    <x:row r="412">
      <x:c r="A412" s="8" t="str">
        <x:v>ORD-2025411</x:v>
      </x:c>
      <x:c r="B412" s="9" t="n">
        <x:v>45836</x:v>
      </x:c>
      <x:c r="C412" s="8" t="str">
        <x:v>South</x:v>
      </x:c>
      <x:c r="D412" s="8" t="str">
        <x:v>Mia Johnson</x:v>
      </x:c>
      <x:c r="E412" s="8" t="str">
        <x:v>BrightPath Co</x:v>
      </x:c>
      <x:c r="F412" s="8" t="str">
        <x:v>Accessories</x:v>
      </x:c>
      <x:c r="G412" s="8" t="str">
        <x:v>Wireless Mouse</x:v>
      </x:c>
      <x:c r="H412" s="10" t="n">
        <x:v>11</x:v>
      </x:c>
      <x:c r="I412" s="11" t="n">
        <x:v>40</x:v>
      </x:c>
      <x:c r="J412" s="12" t="n">
        <x:v>0</x:v>
      </x:c>
      <x:c r="K412" s="11" t="n">
        <x:f>H412*I412*(1-J412)</x:f>
        <x:v>440</x:v>
      </x:c>
      <x:c r="L412" s="11" t="n">
        <x:f>H412*(I412*0.62)</x:f>
        <x:v>272.8</x:v>
      </x:c>
      <x:c r="M412" s="11" t="n">
        <x:f>K412-L412</x:f>
        <x:v>167.2</x:v>
      </x:c>
      <x:c r="N412" s="8" t="str">
        <x:v>Partner</x:v>
      </x:c>
      <x:c r="O412" s="8" t="str">
        <x:v>Bank Transfer</x:v>
      </x:c>
      <x:c r="P412" s="8" t="str">
        <x:v>Cancelled</x:v>
      </x:c>
    </x:row>
    <x:row r="413">
      <x:c r="A413" s="8" t="str">
        <x:v>ORD-2025412</x:v>
      </x:c>
      <x:c r="B413" s="9" t="n">
        <x:v>45716</x:v>
      </x:c>
      <x:c r="C413" s="8" t="str">
        <x:v>East</x:v>
      </x:c>
      <x:c r="D413" s="8" t="str">
        <x:v>Olivia Wilson</x:v>
      </x:c>
      <x:c r="E413" s="8" t="str">
        <x:v>Cedar Co</x:v>
      </x:c>
      <x:c r="F413" s="8" t="str">
        <x:v>Accessories</x:v>
      </x:c>
      <x:c r="G413" s="8" t="str">
        <x:v>Wireless Mouse</x:v>
      </x:c>
      <x:c r="H413" s="10" t="n">
        <x:v>21</x:v>
      </x:c>
      <x:c r="I413" s="11" t="n">
        <x:v>40</x:v>
      </x:c>
      <x:c r="J413" s="12" t="n">
        <x:v>0.1</x:v>
      </x:c>
      <x:c r="K413" s="11" t="n">
        <x:f>H413*I413*(1-J413)</x:f>
        <x:v>756</x:v>
      </x:c>
      <x:c r="L413" s="11" t="n">
        <x:f>H413*(I413*0.62)</x:f>
        <x:v>520.8000000000001</x:v>
      </x:c>
      <x:c r="M413" s="11" t="n">
        <x:f>K413-L413</x:f>
        <x:v>235.19999999999993</x:v>
      </x:c>
      <x:c r="N413" s="8" t="str">
        <x:v>Online</x:v>
      </x:c>
      <x:c r="O413" s="8" t="str">
        <x:v>Bank Transfer</x:v>
      </x:c>
      <x:c r="P413" s="8" t="str">
        <x:v>Cancelled</x:v>
      </x:c>
    </x:row>
    <x:row r="414">
      <x:c r="A414" s="8" t="str">
        <x:v>ORD-2025413</x:v>
      </x:c>
      <x:c r="B414" s="9" t="n">
        <x:v>45716</x:v>
      </x:c>
      <x:c r="C414" s="8" t="str">
        <x:v>West</x:v>
      </x:c>
      <x:c r="D414" s="8" t="str">
        <x:v>Ethan Garcia</x:v>
      </x:c>
      <x:c r="E414" s="8" t="str">
        <x:v>Maple Inc</x:v>
      </x:c>
      <x:c r="F414" s="8" t="str">
        <x:v>Services</x:v>
      </x:c>
      <x:c r="G414" s="8" t="str">
        <x:v>Consulting Day</x:v>
      </x:c>
      <x:c r="H414" s="10" t="n">
        <x:v>24</x:v>
      </x:c>
      <x:c r="I414" s="11" t="n">
        <x:v>1400</x:v>
      </x:c>
      <x:c r="J414" s="12" t="n">
        <x:v>0</x:v>
      </x:c>
      <x:c r="K414" s="11" t="n">
        <x:f>H414*I414*(1-J414)</x:f>
        <x:v>33600</x:v>
      </x:c>
      <x:c r="L414" s="11" t="n">
        <x:f>H414*(I414*0.62)</x:f>
        <x:v>20832</x:v>
      </x:c>
      <x:c r="M414" s="11" t="n">
        <x:f>K414-L414</x:f>
        <x:v>12768</x:v>
      </x:c>
      <x:c r="N414" s="8" t="str">
        <x:v>Direct</x:v>
      </x:c>
      <x:c r="O414" s="8" t="str">
        <x:v>Invoice</x:v>
      </x:c>
      <x:c r="P414" s="8" t="str">
        <x:v>Pending</x:v>
      </x:c>
    </x:row>
    <x:row r="415">
      <x:c r="A415" s="8" t="str">
        <x:v>ORD-2025414</x:v>
      </x:c>
      <x:c r="B415" s="9" t="n">
        <x:v>45680</x:v>
      </x:c>
      <x:c r="C415" s="8" t="str">
        <x:v>East</x:v>
      </x:c>
      <x:c r="D415" s="8" t="str">
        <x:v>Mia Johnson</x:v>
      </x:c>
      <x:c r="E415" s="8" t="str">
        <x:v>BrightPath Inc</x:v>
      </x:c>
      <x:c r="F415" s="8" t="str">
        <x:v>Accessories</x:v>
      </x:c>
      <x:c r="G415" s="8" t="str">
        <x:v>Headset</x:v>
      </x:c>
      <x:c r="H415" s="10" t="n">
        <x:v>17</x:v>
      </x:c>
      <x:c r="I415" s="11" t="n">
        <x:v>85</x:v>
      </x:c>
      <x:c r="J415" s="12" t="n">
        <x:v>0</x:v>
      </x:c>
      <x:c r="K415" s="11" t="n">
        <x:f>H415*I415*(1-J415)</x:f>
        <x:v>1445</x:v>
      </x:c>
      <x:c r="L415" s="11" t="n">
        <x:f>H415*(I415*0.62)</x:f>
        <x:v>895.9000000000001</x:v>
      </x:c>
      <x:c r="M415" s="11" t="n">
        <x:f>K415-L415</x:f>
        <x:v>549.0999999999999</x:v>
      </x:c>
      <x:c r="N415" s="8" t="str">
        <x:v>Direct</x:v>
      </x:c>
      <x:c r="O415" s="8" t="str">
        <x:v>Bank Transfer</x:v>
      </x:c>
      <x:c r="P415" s="8" t="str">
        <x:v>Cancelled</x:v>
      </x:c>
    </x:row>
    <x:row r="416">
      <x:c r="A416" s="8" t="str">
        <x:v>ORD-2025415</x:v>
      </x:c>
      <x:c r="B416" s="9" t="n">
        <x:v>45765</x:v>
      </x:c>
      <x:c r="C416" s="8" t="str">
        <x:v>South</x:v>
      </x:c>
      <x:c r="D416" s="8" t="str">
        <x:v>Lucas Brown</x:v>
      </x:c>
      <x:c r="E416" s="8" t="str">
        <x:v>Pioneer Inc</x:v>
      </x:c>
      <x:c r="F416" s="8" t="str">
        <x:v>Software</x:v>
      </x:c>
      <x:c r="G416" s="8" t="str">
        <x:v>CRM Pro</x:v>
      </x:c>
      <x:c r="H416" s="10" t="n">
        <x:v>7</x:v>
      </x:c>
      <x:c r="I416" s="11" t="n">
        <x:v>1200</x:v>
      </x:c>
      <x:c r="J416" s="12" t="n">
        <x:v>0.1</x:v>
      </x:c>
      <x:c r="K416" s="11" t="n">
        <x:f>H416*I416*(1-J416)</x:f>
        <x:v>7560</x:v>
      </x:c>
      <x:c r="L416" s="11" t="n">
        <x:f>H416*(I416*0.62)</x:f>
        <x:v>5208</x:v>
      </x:c>
      <x:c r="M416" s="11" t="n">
        <x:f>K416-L416</x:f>
        <x:v>2352</x:v>
      </x:c>
      <x:c r="N416" s="8" t="str">
        <x:v>Online</x:v>
      </x:c>
      <x:c r="O416" s="8" t="str">
        <x:v>PayPal</x:v>
      </x:c>
      <x:c r="P416" s="8" t="str">
        <x:v>Shipped</x:v>
      </x:c>
    </x:row>
    <x:row r="417">
      <x:c r="A417" s="8" t="str">
        <x:v>ORD-2025416</x:v>
      </x:c>
      <x:c r="B417" s="9" t="n">
        <x:v>45670</x:v>
      </x:c>
      <x:c r="C417" s="8" t="str">
        <x:v>West</x:v>
      </x:c>
      <x:c r="D417" s="8" t="str">
        <x:v>Sophia Kim</x:v>
      </x:c>
      <x:c r="E417" s="8" t="str">
        <x:v>Summit LLC</x:v>
      </x:c>
      <x:c r="F417" s="8" t="str">
        <x:v>Software</x:v>
      </x:c>
      <x:c r="G417" s="8" t="str">
        <x:v>Analytics Cloud</x:v>
      </x:c>
      <x:c r="H417" s="10" t="n">
        <x:v>3</x:v>
      </x:c>
      <x:c r="I417" s="11" t="n">
        <x:v>1800</x:v>
      </x:c>
      <x:c r="J417" s="12" t="n">
        <x:v>0</x:v>
      </x:c>
      <x:c r="K417" s="11" t="n">
        <x:f>H417*I417*(1-J417)</x:f>
        <x:v>5400</x:v>
      </x:c>
      <x:c r="L417" s="11" t="n">
        <x:f>H417*(I417*0.62)</x:f>
        <x:v>3348</x:v>
      </x:c>
      <x:c r="M417" s="11" t="n">
        <x:f>K417-L417</x:f>
        <x:v>2052</x:v>
      </x:c>
      <x:c r="N417" s="8" t="str">
        <x:v>Direct</x:v>
      </x:c>
      <x:c r="O417" s="8" t="str">
        <x:v>Bank Transfer</x:v>
      </x:c>
      <x:c r="P417" s="8" t="str">
        <x:v>Shipped</x:v>
      </x:c>
    </x:row>
    <x:row r="418">
      <x:c r="A418" s="8" t="str">
        <x:v>ORD-2025417</x:v>
      </x:c>
      <x:c r="B418" s="9" t="n">
        <x:v>45790</x:v>
      </x:c>
      <x:c r="C418" s="8" t="str">
        <x:v>West</x:v>
      </x:c>
      <x:c r="D418" s="8" t="str">
        <x:v>Lucas Brown</x:v>
      </x:c>
      <x:c r="E418" s="8" t="str">
        <x:v>GoldenGate Inc</x:v>
      </x:c>
      <x:c r="F418" s="8" t="str">
        <x:v>Software</x:v>
      </x:c>
      <x:c r="G418" s="8" t="str">
        <x:v>Analytics Cloud</x:v>
      </x:c>
      <x:c r="H418" s="10" t="n">
        <x:v>21</x:v>
      </x:c>
      <x:c r="I418" s="11" t="n">
        <x:v>1800</x:v>
      </x:c>
      <x:c r="J418" s="12" t="n">
        <x:v>0.05</x:v>
      </x:c>
      <x:c r="K418" s="11" t="n">
        <x:f>H418*I418*(1-J418)</x:f>
        <x:v>35910</x:v>
      </x:c>
      <x:c r="L418" s="11" t="n">
        <x:f>H418*(I418*0.62)</x:f>
        <x:v>23436</x:v>
      </x:c>
      <x:c r="M418" s="11" t="n">
        <x:f>K418-L418</x:f>
        <x:v>12474</x:v>
      </x:c>
      <x:c r="N418" s="8" t="str">
        <x:v>Partner</x:v>
      </x:c>
      <x:c r="O418" s="8" t="str">
        <x:v>Invoice</x:v>
      </x:c>
      <x:c r="P418" s="8" t="str">
        <x:v>Closed Won</x:v>
      </x:c>
    </x:row>
    <x:row r="419">
      <x:c r="A419" s="8" t="str">
        <x:v>ORD-2025418</x:v>
      </x:c>
      <x:c r="B419" s="9" t="n">
        <x:v>45986</x:v>
      </x:c>
      <x:c r="C419" s="8" t="str">
        <x:v>Central</x:v>
      </x:c>
      <x:c r="D419" s="8" t="str">
        <x:v>Liam Chen</x:v>
      </x:c>
      <x:c r="E419" s="8" t="str">
        <x:v>Ironwood Co</x:v>
      </x:c>
      <x:c r="F419" s="8" t="str">
        <x:v>Software</x:v>
      </x:c>
      <x:c r="G419" s="8" t="str">
        <x:v>CRM Pro</x:v>
      </x:c>
      <x:c r="H419" s="10" t="n">
        <x:v>2</x:v>
      </x:c>
      <x:c r="I419" s="11" t="n">
        <x:v>1200</x:v>
      </x:c>
      <x:c r="J419" s="12" t="n">
        <x:v>0.15</x:v>
      </x:c>
      <x:c r="K419" s="11" t="n">
        <x:f>H419*I419*(1-J419)</x:f>
        <x:v>2040</x:v>
      </x:c>
      <x:c r="L419" s="11" t="n">
        <x:f>H419*(I419*0.62)</x:f>
        <x:v>1488</x:v>
      </x:c>
      <x:c r="M419" s="11" t="n">
        <x:f>K419-L419</x:f>
        <x:v>552</x:v>
      </x:c>
      <x:c r="N419" s="8" t="str">
        <x:v>Direct</x:v>
      </x:c>
      <x:c r="O419" s="8" t="str">
        <x:v>Invoice</x:v>
      </x:c>
      <x:c r="P419" s="8" t="str">
        <x:v>Cancelled</x:v>
      </x:c>
    </x:row>
    <x:row r="420">
      <x:c r="A420" s="8" t="str">
        <x:v>ORD-2025419</x:v>
      </x:c>
      <x:c r="B420" s="9" t="n">
        <x:v>46009</x:v>
      </x:c>
      <x:c r="C420" s="8" t="str">
        <x:v>East</x:v>
      </x:c>
      <x:c r="D420" s="8" t="str">
        <x:v>Emma Martin</x:v>
      </x:c>
      <x:c r="E420" s="8" t="str">
        <x:v>BlueSky Group</x:v>
      </x:c>
      <x:c r="F420" s="8" t="str">
        <x:v>Software</x:v>
      </x:c>
      <x:c r="G420" s="8" t="str">
        <x:v>HR Suite</x:v>
      </x:c>
      <x:c r="H420" s="10" t="n">
        <x:v>10</x:v>
      </x:c>
      <x:c r="I420" s="11" t="n">
        <x:v>950</x:v>
      </x:c>
      <x:c r="J420" s="12" t="n">
        <x:v>0.2</x:v>
      </x:c>
      <x:c r="K420" s="11" t="n">
        <x:f>H420*I420*(1-J420)</x:f>
        <x:v>7600</x:v>
      </x:c>
      <x:c r="L420" s="11" t="n">
        <x:f>H420*(I420*0.62)</x:f>
        <x:v>5890</x:v>
      </x:c>
      <x:c r="M420" s="11" t="n">
        <x:f>K420-L420</x:f>
        <x:v>1710</x:v>
      </x:c>
      <x:c r="N420" s="8" t="str">
        <x:v>Partner</x:v>
      </x:c>
      <x:c r="O420" s="8" t="str">
        <x:v>PayPal</x:v>
      </x:c>
      <x:c r="P420" s="8" t="str">
        <x:v>Closed Won</x:v>
      </x:c>
    </x:row>
    <x:row r="421">
      <x:c r="A421" s="8" t="str">
        <x:v>ORD-2025420</x:v>
      </x:c>
      <x:c r="B421" s="9" t="n">
        <x:v>45738</x:v>
      </x:c>
      <x:c r="C421" s="8" t="str">
        <x:v>Central</x:v>
      </x:c>
      <x:c r="D421" s="8" t="str">
        <x:v>Mia Johnson</x:v>
      </x:c>
      <x:c r="E421" s="8" t="str">
        <x:v>Urban Inc</x:v>
      </x:c>
      <x:c r="F421" s="8" t="str">
        <x:v>Software</x:v>
      </x:c>
      <x:c r="G421" s="8" t="str">
        <x:v>ProjectFlow</x:v>
      </x:c>
      <x:c r="H421" s="10" t="n">
        <x:v>24</x:v>
      </x:c>
      <x:c r="I421" s="11" t="n">
        <x:v>700</x:v>
      </x:c>
      <x:c r="J421" s="12" t="n">
        <x:v>0.05</x:v>
      </x:c>
      <x:c r="K421" s="11" t="n">
        <x:f>H421*I421*(1-J421)</x:f>
        <x:v>15960</x:v>
      </x:c>
      <x:c r="L421" s="11" t="n">
        <x:f>H421*(I421*0.62)</x:f>
        <x:v>10416</x:v>
      </x:c>
      <x:c r="M421" s="11" t="n">
        <x:f>K421-L421</x:f>
        <x:v>5544</x:v>
      </x:c>
      <x:c r="N421" s="8" t="str">
        <x:v>Online</x:v>
      </x:c>
      <x:c r="O421" s="8" t="str">
        <x:v>Invoice</x:v>
      </x:c>
      <x:c r="P421" s="8" t="str">
        <x:v>Cancelled</x:v>
      </x:c>
    </x:row>
    <x:row r="422">
      <x:c r="A422" s="8" t="str">
        <x:v>ORD-2025421</x:v>
      </x:c>
      <x:c r="B422" s="9" t="n">
        <x:v>46004</x:v>
      </x:c>
      <x:c r="C422" s="8" t="str">
        <x:v>East</x:v>
      </x:c>
      <x:c r="D422" s="8" t="str">
        <x:v>Ava Patel</x:v>
      </x:c>
      <x:c r="E422" s="8" t="str">
        <x:v>Maple Co</x:v>
      </x:c>
      <x:c r="F422" s="8" t="str">
        <x:v>Hardware</x:v>
      </x:c>
      <x:c r="G422" s="8" t="str">
        <x:v>Dock Station</x:v>
      </x:c>
      <x:c r="H422" s="10" t="n">
        <x:v>18</x:v>
      </x:c>
      <x:c r="I422" s="11" t="n">
        <x:v>180</x:v>
      </x:c>
      <x:c r="J422" s="12" t="n">
        <x:v>0</x:v>
      </x:c>
      <x:c r="K422" s="11" t="n">
        <x:f>H422*I422*(1-J422)</x:f>
        <x:v>3240</x:v>
      </x:c>
      <x:c r="L422" s="11" t="n">
        <x:f>H422*(I422*0.62)</x:f>
        <x:v>2008.8</x:v>
      </x:c>
      <x:c r="M422" s="11" t="n">
        <x:f>K422-L422</x:f>
        <x:v>1231.2</x:v>
      </x:c>
      <x:c r="N422" s="8" t="str">
        <x:v>Direct</x:v>
      </x:c>
      <x:c r="O422" s="8" t="str">
        <x:v>Credit Card</x:v>
      </x:c>
      <x:c r="P422" s="8" t="str">
        <x:v>Closed Won</x:v>
      </x:c>
    </x:row>
    <x:row r="423">
      <x:c r="A423" s="8" t="str">
        <x:v>ORD-2025422</x:v>
      </x:c>
      <x:c r="B423" s="9" t="n">
        <x:v>45814</x:v>
      </x:c>
      <x:c r="C423" s="8" t="str">
        <x:v>South</x:v>
      </x:c>
      <x:c r="D423" s="8" t="str">
        <x:v>Sophia Kim</x:v>
      </x:c>
      <x:c r="E423" s="8" t="str">
        <x:v>Nexus Group</x:v>
      </x:c>
      <x:c r="F423" s="8" t="str">
        <x:v>Accessories</x:v>
      </x:c>
      <x:c r="G423" s="8" t="str">
        <x:v>Wireless Mouse</x:v>
      </x:c>
      <x:c r="H423" s="10" t="n">
        <x:v>14</x:v>
      </x:c>
      <x:c r="I423" s="11" t="n">
        <x:v>40</x:v>
      </x:c>
      <x:c r="J423" s="12" t="n">
        <x:v>0.15</x:v>
      </x:c>
      <x:c r="K423" s="11" t="n">
        <x:f>H423*I423*(1-J423)</x:f>
        <x:v>476</x:v>
      </x:c>
      <x:c r="L423" s="11" t="n">
        <x:f>H423*(I423*0.62)</x:f>
        <x:v>347.2</x:v>
      </x:c>
      <x:c r="M423" s="11" t="n">
        <x:f>K423-L423</x:f>
        <x:v>128.8</x:v>
      </x:c>
      <x:c r="N423" s="8" t="str">
        <x:v>Online</x:v>
      </x:c>
      <x:c r="O423" s="8" t="str">
        <x:v>Bank Transfer</x:v>
      </x:c>
      <x:c r="P423" s="8" t="str">
        <x:v>Closed Won</x:v>
      </x:c>
    </x:row>
    <x:row r="424">
      <x:c r="A424" s="8" t="str">
        <x:v>ORD-2025423</x:v>
      </x:c>
      <x:c r="B424" s="9" t="n">
        <x:v>45757</x:v>
      </x:c>
      <x:c r="C424" s="8" t="str">
        <x:v>North</x:v>
      </x:c>
      <x:c r="D424" s="8" t="str">
        <x:v>Noah Davis</x:v>
      </x:c>
      <x:c r="E424" s="8" t="str">
        <x:v>Ironwood LLC</x:v>
      </x:c>
      <x:c r="F424" s="8" t="str">
        <x:v>Hardware</x:v>
      </x:c>
      <x:c r="G424" s="8" t="str">
        <x:v>Dock Station</x:v>
      </x:c>
      <x:c r="H424" s="10" t="n">
        <x:v>2</x:v>
      </x:c>
      <x:c r="I424" s="11" t="n">
        <x:v>180</x:v>
      </x:c>
      <x:c r="J424" s="12" t="n">
        <x:v>0.2</x:v>
      </x:c>
      <x:c r="K424" s="11" t="n">
        <x:f>H424*I424*(1-J424)</x:f>
        <x:v>288</x:v>
      </x:c>
      <x:c r="L424" s="11" t="n">
        <x:f>H424*(I424*0.62)</x:f>
        <x:v>223.2</x:v>
      </x:c>
      <x:c r="M424" s="11" t="n">
        <x:f>K424-L424</x:f>
        <x:v>64.80000000000001</x:v>
      </x:c>
      <x:c r="N424" s="8" t="str">
        <x:v>Online</x:v>
      </x:c>
      <x:c r="O424" s="8" t="str">
        <x:v>PayPal</x:v>
      </x:c>
      <x:c r="P424" s="8" t="str">
        <x:v>Shipped</x:v>
      </x:c>
    </x:row>
    <x:row r="425">
      <x:c r="A425" s="8" t="str">
        <x:v>ORD-2025424</x:v>
      </x:c>
      <x:c r="B425" s="9" t="n">
        <x:v>46001</x:v>
      </x:c>
      <x:c r="C425" s="8" t="str">
        <x:v>North</x:v>
      </x:c>
      <x:c r="D425" s="8" t="str">
        <x:v>Ethan Garcia</x:v>
      </x:c>
      <x:c r="E425" s="8" t="str">
        <x:v>Pioneer LLC</x:v>
      </x:c>
      <x:c r="F425" s="8" t="str">
        <x:v>Software</x:v>
      </x:c>
      <x:c r="G425" s="8" t="str">
        <x:v>HR Suite</x:v>
      </x:c>
      <x:c r="H425" s="10" t="n">
        <x:v>7</x:v>
      </x:c>
      <x:c r="I425" s="11" t="n">
        <x:v>950</x:v>
      </x:c>
      <x:c r="J425" s="12" t="n">
        <x:v>0.15</x:v>
      </x:c>
      <x:c r="K425" s="11" t="n">
        <x:f>H425*I425*(1-J425)</x:f>
        <x:v>5652.5</x:v>
      </x:c>
      <x:c r="L425" s="11" t="n">
        <x:f>H425*(I425*0.62)</x:f>
        <x:v>4123</x:v>
      </x:c>
      <x:c r="M425" s="11" t="n">
        <x:f>K425-L425</x:f>
        <x:v>1529.5</x:v>
      </x:c>
      <x:c r="N425" s="8" t="str">
        <x:v>Online</x:v>
      </x:c>
      <x:c r="O425" s="8" t="str">
        <x:v>PayPal</x:v>
      </x:c>
      <x:c r="P425" s="8" t="str">
        <x:v>Cancelled</x:v>
      </x:c>
    </x:row>
    <x:row r="426">
      <x:c r="A426" s="8" t="str">
        <x:v>ORD-2025425</x:v>
      </x:c>
      <x:c r="B426" s="9" t="n">
        <x:v>46001</x:v>
      </x:c>
      <x:c r="C426" s="8" t="str">
        <x:v>South</x:v>
      </x:c>
      <x:c r="D426" s="8" t="str">
        <x:v>Liam Chen</x:v>
      </x:c>
      <x:c r="E426" s="8" t="str">
        <x:v>Vertex LLC</x:v>
      </x:c>
      <x:c r="F426" s="8" t="str">
        <x:v>Services</x:v>
      </x:c>
      <x:c r="G426" s="8" t="str">
        <x:v>Training</x:v>
      </x:c>
      <x:c r="H426" s="10" t="n">
        <x:v>20</x:v>
      </x:c>
      <x:c r="I426" s="11" t="n">
        <x:v>900</x:v>
      </x:c>
      <x:c r="J426" s="12" t="n">
        <x:v>0</x:v>
      </x:c>
      <x:c r="K426" s="11" t="n">
        <x:f>H426*I426*(1-J426)</x:f>
        <x:v>18000</x:v>
      </x:c>
      <x:c r="L426" s="11" t="n">
        <x:f>H426*(I426*0.62)</x:f>
        <x:v>11160</x:v>
      </x:c>
      <x:c r="M426" s="11" t="n">
        <x:f>K426-L426</x:f>
        <x:v>6840</x:v>
      </x:c>
      <x:c r="N426" s="8" t="str">
        <x:v>Direct</x:v>
      </x:c>
      <x:c r="O426" s="8" t="str">
        <x:v>Invoice</x:v>
      </x:c>
      <x:c r="P426" s="8" t="str">
        <x:v>Pending</x:v>
      </x:c>
    </x:row>
    <x:row r="427">
      <x:c r="A427" s="8" t="str">
        <x:v>ORD-2025426</x:v>
      </x:c>
      <x:c r="B427" s="9" t="n">
        <x:v>46013</x:v>
      </x:c>
      <x:c r="C427" s="8" t="str">
        <x:v>Central</x:v>
      </x:c>
      <x:c r="D427" s="8" t="str">
        <x:v>Noah Davis</x:v>
      </x:c>
      <x:c r="E427" s="8" t="str">
        <x:v>Ironwood LLC</x:v>
      </x:c>
      <x:c r="F427" s="8" t="str">
        <x:v>Services</x:v>
      </x:c>
      <x:c r="G427" s="8" t="str">
        <x:v>Support Plus</x:v>
      </x:c>
      <x:c r="H427" s="10" t="n">
        <x:v>19</x:v>
      </x:c>
      <x:c r="I427" s="11" t="n">
        <x:v>650</x:v>
      </x:c>
      <x:c r="J427" s="12" t="n">
        <x:v>0</x:v>
      </x:c>
      <x:c r="K427" s="11" t="n">
        <x:f>H427*I427*(1-J427)</x:f>
        <x:v>12350</x:v>
      </x:c>
      <x:c r="L427" s="11" t="n">
        <x:f>H427*(I427*0.62)</x:f>
        <x:v>7657</x:v>
      </x:c>
      <x:c r="M427" s="11" t="n">
        <x:f>K427-L427</x:f>
        <x:v>4693</x:v>
      </x:c>
      <x:c r="N427" s="8" t="str">
        <x:v>Partner</x:v>
      </x:c>
      <x:c r="O427" s="8" t="str">
        <x:v>PayPal</x:v>
      </x:c>
      <x:c r="P427" s="8" t="str">
        <x:v>Closed Won</x:v>
      </x:c>
    </x:row>
    <x:row r="428">
      <x:c r="A428" s="8" t="str">
        <x:v>ORD-2025427</x:v>
      </x:c>
      <x:c r="B428" s="9" t="n">
        <x:v>45771</x:v>
      </x:c>
      <x:c r="C428" s="8" t="str">
        <x:v>West</x:v>
      </x:c>
      <x:c r="D428" s="8" t="str">
        <x:v>Ethan Garcia</x:v>
      </x:c>
      <x:c r="E428" s="8" t="str">
        <x:v>Harbor Co</x:v>
      </x:c>
      <x:c r="F428" s="8" t="str">
        <x:v>Services</x:v>
      </x:c>
      <x:c r="G428" s="8" t="str">
        <x:v>Training</x:v>
      </x:c>
      <x:c r="H428" s="10" t="n">
        <x:v>5</x:v>
      </x:c>
      <x:c r="I428" s="11" t="n">
        <x:v>900</x:v>
      </x:c>
      <x:c r="J428" s="12" t="n">
        <x:v>0.15</x:v>
      </x:c>
      <x:c r="K428" s="11" t="n">
        <x:f>H428*I428*(1-J428)</x:f>
        <x:v>3825</x:v>
      </x:c>
      <x:c r="L428" s="11" t="n">
        <x:f>H428*(I428*0.62)</x:f>
        <x:v>2790</x:v>
      </x:c>
      <x:c r="M428" s="11" t="n">
        <x:f>K428-L428</x:f>
        <x:v>1035</x:v>
      </x:c>
      <x:c r="N428" s="8" t="str">
        <x:v>Online</x:v>
      </x:c>
      <x:c r="O428" s="8" t="str">
        <x:v>Invoice</x:v>
      </x:c>
      <x:c r="P428" s="8" t="str">
        <x:v>Returned</x:v>
      </x:c>
    </x:row>
    <x:row r="429">
      <x:c r="A429" s="8" t="str">
        <x:v>ORD-2025428</x:v>
      </x:c>
      <x:c r="B429" s="9" t="n">
        <x:v>45841</x:v>
      </x:c>
      <x:c r="C429" s="8" t="str">
        <x:v>East</x:v>
      </x:c>
      <x:c r="D429" s="8" t="str">
        <x:v>Olivia Wilson</x:v>
      </x:c>
      <x:c r="E429" s="8" t="str">
        <x:v>Maple Co</x:v>
      </x:c>
      <x:c r="F429" s="8" t="str">
        <x:v>Accessories</x:v>
      </x:c>
      <x:c r="G429" s="8" t="str">
        <x:v>Headset</x:v>
      </x:c>
      <x:c r="H429" s="10" t="n">
        <x:v>4</x:v>
      </x:c>
      <x:c r="I429" s="11" t="n">
        <x:v>85</x:v>
      </x:c>
      <x:c r="J429" s="12" t="n">
        <x:v>0</x:v>
      </x:c>
      <x:c r="K429" s="11" t="n">
        <x:f>H429*I429*(1-J429)</x:f>
        <x:v>340</x:v>
      </x:c>
      <x:c r="L429" s="11" t="n">
        <x:f>H429*(I429*0.62)</x:f>
        <x:v>210.8</x:v>
      </x:c>
      <x:c r="M429" s="11" t="n">
        <x:f>K429-L429</x:f>
        <x:v>129.2</x:v>
      </x:c>
      <x:c r="N429" s="8" t="str">
        <x:v>Online</x:v>
      </x:c>
      <x:c r="O429" s="8" t="str">
        <x:v>Credit Card</x:v>
      </x:c>
      <x:c r="P429" s="8" t="str">
        <x:v>Returned</x:v>
      </x:c>
    </x:row>
    <x:row r="430">
      <x:c r="A430" s="8" t="str">
        <x:v>ORD-2025429</x:v>
      </x:c>
      <x:c r="B430" s="9" t="n">
        <x:v>45792</x:v>
      </x:c>
      <x:c r="C430" s="8" t="str">
        <x:v>North</x:v>
      </x:c>
      <x:c r="D430" s="8" t="str">
        <x:v>Liam Chen</x:v>
      </x:c>
      <x:c r="E430" s="8" t="str">
        <x:v>Acme Co</x:v>
      </x:c>
      <x:c r="F430" s="8" t="str">
        <x:v>Hardware</x:v>
      </x:c>
      <x:c r="G430" s="8" t="str">
        <x:v>Tablet Air</x:v>
      </x:c>
      <x:c r="H430" s="10" t="n">
        <x:v>17</x:v>
      </x:c>
      <x:c r="I430" s="11" t="n">
        <x:v>820</x:v>
      </x:c>
      <x:c r="J430" s="12" t="n">
        <x:v>0.15</x:v>
      </x:c>
      <x:c r="K430" s="11" t="n">
        <x:f>H430*I430*(1-J430)</x:f>
        <x:v>11849</x:v>
      </x:c>
      <x:c r="L430" s="11" t="n">
        <x:f>H430*(I430*0.62)</x:f>
        <x:v>8642.8</x:v>
      </x:c>
      <x:c r="M430" s="11" t="n">
        <x:f>K430-L430</x:f>
        <x:v>3206.2000000000007</x:v>
      </x:c>
      <x:c r="N430" s="8" t="str">
        <x:v>Direct</x:v>
      </x:c>
      <x:c r="O430" s="8" t="str">
        <x:v>PayPal</x:v>
      </x:c>
      <x:c r="P430" s="8" t="str">
        <x:v>Shipped</x:v>
      </x:c>
    </x:row>
    <x:row r="431">
      <x:c r="A431" s="8" t="str">
        <x:v>ORD-2025430</x:v>
      </x:c>
      <x:c r="B431" s="9" t="n">
        <x:v>45940</x:v>
      </x:c>
      <x:c r="C431" s="8" t="str">
        <x:v>East</x:v>
      </x:c>
      <x:c r="D431" s="8" t="str">
        <x:v>Mason Lee</x:v>
      </x:c>
      <x:c r="E431" s="8" t="str">
        <x:v>Maple Inc</x:v>
      </x:c>
      <x:c r="F431" s="8" t="str">
        <x:v>Hardware</x:v>
      </x:c>
      <x:c r="G431" s="8" t="str">
        <x:v>Laptop X</x:v>
      </x:c>
      <x:c r="H431" s="10" t="n">
        <x:v>16</x:v>
      </x:c>
      <x:c r="I431" s="11" t="n">
        <x:v>1500</x:v>
      </x:c>
      <x:c r="J431" s="12" t="n">
        <x:v>0.15</x:v>
      </x:c>
      <x:c r="K431" s="11" t="n">
        <x:f>H431*I431*(1-J431)</x:f>
        <x:v>20400</x:v>
      </x:c>
      <x:c r="L431" s="11" t="n">
        <x:f>H431*(I431*0.62)</x:f>
        <x:v>14880</x:v>
      </x:c>
      <x:c r="M431" s="11" t="n">
        <x:f>K431-L431</x:f>
        <x:v>5520</x:v>
      </x:c>
      <x:c r="N431" s="8" t="str">
        <x:v>Direct</x:v>
      </x:c>
      <x:c r="O431" s="8" t="str">
        <x:v>Invoice</x:v>
      </x:c>
      <x:c r="P431" s="8" t="str">
        <x:v>Closed Won</x:v>
      </x:c>
    </x:row>
    <x:row r="432">
      <x:c r="A432" s="8" t="str">
        <x:v>ORD-2025431</x:v>
      </x:c>
      <x:c r="B432" s="9" t="n">
        <x:v>45895</x:v>
      </x:c>
      <x:c r="C432" s="8" t="str">
        <x:v>Central</x:v>
      </x:c>
      <x:c r="D432" s="8" t="str">
        <x:v>Mason Lee</x:v>
      </x:c>
      <x:c r="E432" s="8" t="str">
        <x:v>BlueSky Group</x:v>
      </x:c>
      <x:c r="F432" s="8" t="str">
        <x:v>Services</x:v>
      </x:c>
      <x:c r="G432" s="8" t="str">
        <x:v>Training</x:v>
      </x:c>
      <x:c r="H432" s="10" t="n">
        <x:v>13</x:v>
      </x:c>
      <x:c r="I432" s="11" t="n">
        <x:v>900</x:v>
      </x:c>
      <x:c r="J432" s="12" t="n">
        <x:v>0</x:v>
      </x:c>
      <x:c r="K432" s="11" t="n">
        <x:f>H432*I432*(1-J432)</x:f>
        <x:v>11700</x:v>
      </x:c>
      <x:c r="L432" s="11" t="n">
        <x:f>H432*(I432*0.62)</x:f>
        <x:v>7254</x:v>
      </x:c>
      <x:c r="M432" s="11" t="n">
        <x:f>K432-L432</x:f>
        <x:v>4446</x:v>
      </x:c>
      <x:c r="N432" s="8" t="str">
        <x:v>Online</x:v>
      </x:c>
      <x:c r="O432" s="8" t="str">
        <x:v>Credit Card</x:v>
      </x:c>
      <x:c r="P432" s="8" t="str">
        <x:v>Shipped</x:v>
      </x:c>
    </x:row>
    <x:row r="433">
      <x:c r="A433" s="8" t="str">
        <x:v>ORD-2025432</x:v>
      </x:c>
      <x:c r="B433" s="9" t="n">
        <x:v>45886</x:v>
      </x:c>
      <x:c r="C433" s="8" t="str">
        <x:v>South</x:v>
      </x:c>
      <x:c r="D433" s="8" t="str">
        <x:v>Noah Davis</x:v>
      </x:c>
      <x:c r="E433" s="8" t="str">
        <x:v>Ironwood LLC</x:v>
      </x:c>
      <x:c r="F433" s="8" t="str">
        <x:v>Hardware</x:v>
      </x:c>
      <x:c r="G433" s="8" t="str">
        <x:v>Tablet Air</x:v>
      </x:c>
      <x:c r="H433" s="10" t="n">
        <x:v>19</x:v>
      </x:c>
      <x:c r="I433" s="11" t="n">
        <x:v>820</x:v>
      </x:c>
      <x:c r="J433" s="12" t="n">
        <x:v>0.15</x:v>
      </x:c>
      <x:c r="K433" s="11" t="n">
        <x:f>H433*I433*(1-J433)</x:f>
        <x:v>13243</x:v>
      </x:c>
      <x:c r="L433" s="11" t="n">
        <x:f>H433*(I433*0.62)</x:f>
        <x:v>9659.6</x:v>
      </x:c>
      <x:c r="M433" s="11" t="n">
        <x:f>K433-L433</x:f>
        <x:v>3583.3999999999996</x:v>
      </x:c>
      <x:c r="N433" s="8" t="str">
        <x:v>Direct</x:v>
      </x:c>
      <x:c r="O433" s="8" t="str">
        <x:v>PayPal</x:v>
      </x:c>
      <x:c r="P433" s="8" t="str">
        <x:v>Cancelled</x:v>
      </x:c>
    </x:row>
    <x:row r="434">
      <x:c r="A434" s="8" t="str">
        <x:v>ORD-2025433</x:v>
      </x:c>
      <x:c r="B434" s="9" t="n">
        <x:v>45907</x:v>
      </x:c>
      <x:c r="C434" s="8" t="str">
        <x:v>South</x:v>
      </x:c>
      <x:c r="D434" s="8" t="str">
        <x:v>Liam Chen</x:v>
      </x:c>
      <x:c r="E434" s="8" t="str">
        <x:v>Prime Inc</x:v>
      </x:c>
      <x:c r="F434" s="8" t="str">
        <x:v>Software</x:v>
      </x:c>
      <x:c r="G434" s="8" t="str">
        <x:v>Analytics Cloud</x:v>
      </x:c>
      <x:c r="H434" s="10" t="n">
        <x:v>12</x:v>
      </x:c>
      <x:c r="I434" s="11" t="n">
        <x:v>1800</x:v>
      </x:c>
      <x:c r="J434" s="12" t="n">
        <x:v>0</x:v>
      </x:c>
      <x:c r="K434" s="11" t="n">
        <x:f>H434*I434*(1-J434)</x:f>
        <x:v>21600</x:v>
      </x:c>
      <x:c r="L434" s="11" t="n">
        <x:f>H434*(I434*0.62)</x:f>
        <x:v>13392</x:v>
      </x:c>
      <x:c r="M434" s="11" t="n">
        <x:f>K434-L434</x:f>
        <x:v>8208</x:v>
      </x:c>
      <x:c r="N434" s="8" t="str">
        <x:v>Direct</x:v>
      </x:c>
      <x:c r="O434" s="8" t="str">
        <x:v>Bank Transfer</x:v>
      </x:c>
      <x:c r="P434" s="8" t="str">
        <x:v>Pending</x:v>
      </x:c>
    </x:row>
    <x:row r="435">
      <x:c r="A435" s="8" t="str">
        <x:v>ORD-2025434</x:v>
      </x:c>
      <x:c r="B435" s="9" t="n">
        <x:v>45898</x:v>
      </x:c>
      <x:c r="C435" s="8" t="str">
        <x:v>West</x:v>
      </x:c>
      <x:c r="D435" s="8" t="str">
        <x:v>Ava Patel</x:v>
      </x:c>
      <x:c r="E435" s="8" t="str">
        <x:v>Summit Inc</x:v>
      </x:c>
      <x:c r="F435" s="8" t="str">
        <x:v>Services</x:v>
      </x:c>
      <x:c r="G435" s="8" t="str">
        <x:v>Consulting Day</x:v>
      </x:c>
      <x:c r="H435" s="10" t="n">
        <x:v>21</x:v>
      </x:c>
      <x:c r="I435" s="11" t="n">
        <x:v>1400</x:v>
      </x:c>
      <x:c r="J435" s="12" t="n">
        <x:v>0</x:v>
      </x:c>
      <x:c r="K435" s="11" t="n">
        <x:f>H435*I435*(1-J435)</x:f>
        <x:v>29400</x:v>
      </x:c>
      <x:c r="L435" s="11" t="n">
        <x:f>H435*(I435*0.62)</x:f>
        <x:v>18228</x:v>
      </x:c>
      <x:c r="M435" s="11" t="n">
        <x:f>K435-L435</x:f>
        <x:v>11172</x:v>
      </x:c>
      <x:c r="N435" s="8" t="str">
        <x:v>Direct</x:v>
      </x:c>
      <x:c r="O435" s="8" t="str">
        <x:v>Invoice</x:v>
      </x:c>
      <x:c r="P435" s="8" t="str">
        <x:v>Returned</x:v>
      </x:c>
    </x:row>
    <x:row r="436">
      <x:c r="A436" s="8" t="str">
        <x:v>ORD-2025435</x:v>
      </x:c>
      <x:c r="B436" s="9" t="n">
        <x:v>45850</x:v>
      </x:c>
      <x:c r="C436" s="8" t="str">
        <x:v>West</x:v>
      </x:c>
      <x:c r="D436" s="8" t="str">
        <x:v>Sophia Kim</x:v>
      </x:c>
      <x:c r="E436" s="8" t="str">
        <x:v>Ironwood Group</x:v>
      </x:c>
      <x:c r="F436" s="8" t="str">
        <x:v>Services</x:v>
      </x:c>
      <x:c r="G436" s="8" t="str">
        <x:v>Training</x:v>
      </x:c>
      <x:c r="H436" s="10" t="n">
        <x:v>21</x:v>
      </x:c>
      <x:c r="I436" s="11" t="n">
        <x:v>900</x:v>
      </x:c>
      <x:c r="J436" s="12" t="n">
        <x:v>0.2</x:v>
      </x:c>
      <x:c r="K436" s="11" t="n">
        <x:f>H436*I436*(1-J436)</x:f>
        <x:v>15120</x:v>
      </x:c>
      <x:c r="L436" s="11" t="n">
        <x:f>H436*(I436*0.62)</x:f>
        <x:v>11718</x:v>
      </x:c>
      <x:c r="M436" s="11" t="n">
        <x:f>K436-L436</x:f>
        <x:v>3402</x:v>
      </x:c>
      <x:c r="N436" s="8" t="str">
        <x:v>Direct</x:v>
      </x:c>
      <x:c r="O436" s="8" t="str">
        <x:v>Invoice</x:v>
      </x:c>
      <x:c r="P436" s="8" t="str">
        <x:v>Closed Won</x:v>
      </x:c>
    </x:row>
    <x:row r="437">
      <x:c r="A437" s="8" t="str">
        <x:v>ORD-2025436</x:v>
      </x:c>
      <x:c r="B437" s="9" t="n">
        <x:v>45838</x:v>
      </x:c>
      <x:c r="C437" s="8" t="str">
        <x:v>East</x:v>
      </x:c>
      <x:c r="D437" s="8" t="str">
        <x:v>Olivia Wilson</x:v>
      </x:c>
      <x:c r="E437" s="8" t="str">
        <x:v>NorthStar Inc</x:v>
      </x:c>
      <x:c r="F437" s="8" t="str">
        <x:v>Hardware</x:v>
      </x:c>
      <x:c r="G437" s="8" t="str">
        <x:v>Monitor 27</x:v>
      </x:c>
      <x:c r="H437" s="10" t="n">
        <x:v>20</x:v>
      </x:c>
      <x:c r="I437" s="11" t="n">
        <x:v>320</x:v>
      </x:c>
      <x:c r="J437" s="12" t="n">
        <x:v>0</x:v>
      </x:c>
      <x:c r="K437" s="11" t="n">
        <x:f>H437*I437*(1-J437)</x:f>
        <x:v>6400</x:v>
      </x:c>
      <x:c r="L437" s="11" t="n">
        <x:f>H437*(I437*0.62)</x:f>
        <x:v>3968</x:v>
      </x:c>
      <x:c r="M437" s="11" t="n">
        <x:f>K437-L437</x:f>
        <x:v>2432</x:v>
      </x:c>
      <x:c r="N437" s="8" t="str">
        <x:v>Online</x:v>
      </x:c>
      <x:c r="O437" s="8" t="str">
        <x:v>Bank Transfer</x:v>
      </x:c>
      <x:c r="P437" s="8" t="str">
        <x:v>Closed Won</x:v>
      </x:c>
    </x:row>
    <x:row r="438">
      <x:c r="A438" s="8" t="str">
        <x:v>ORD-2025437</x:v>
      </x:c>
      <x:c r="B438" s="9" t="n">
        <x:v>45921</x:v>
      </x:c>
      <x:c r="C438" s="8" t="str">
        <x:v>East</x:v>
      </x:c>
      <x:c r="D438" s="8" t="str">
        <x:v>Mia Johnson</x:v>
      </x:c>
      <x:c r="E438" s="8" t="str">
        <x:v>Urban Group</x:v>
      </x:c>
      <x:c r="F438" s="8" t="str">
        <x:v>Hardware</x:v>
      </x:c>
      <x:c r="G438" s="8" t="str">
        <x:v>Laptop X</x:v>
      </x:c>
      <x:c r="H438" s="10" t="n">
        <x:v>6</x:v>
      </x:c>
      <x:c r="I438" s="11" t="n">
        <x:v>1500</x:v>
      </x:c>
      <x:c r="J438" s="12" t="n">
        <x:v>0</x:v>
      </x:c>
      <x:c r="K438" s="11" t="n">
        <x:f>H438*I438*(1-J438)</x:f>
        <x:v>9000</x:v>
      </x:c>
      <x:c r="L438" s="11" t="n">
        <x:f>H438*(I438*0.62)</x:f>
        <x:v>5580</x:v>
      </x:c>
      <x:c r="M438" s="11" t="n">
        <x:f>K438-L438</x:f>
        <x:v>3420</x:v>
      </x:c>
      <x:c r="N438" s="8" t="str">
        <x:v>Partner</x:v>
      </x:c>
      <x:c r="O438" s="8" t="str">
        <x:v>Credit Card</x:v>
      </x:c>
      <x:c r="P438" s="8" t="str">
        <x:v>Shipped</x:v>
      </x:c>
    </x:row>
    <x:row r="439">
      <x:c r="A439" s="8" t="str">
        <x:v>ORD-2025438</x:v>
      </x:c>
      <x:c r="B439" s="9" t="n">
        <x:v>45716</x:v>
      </x:c>
      <x:c r="C439" s="8" t="str">
        <x:v>West</x:v>
      </x:c>
      <x:c r="D439" s="8" t="str">
        <x:v>Olivia Wilson</x:v>
      </x:c>
      <x:c r="E439" s="8" t="str">
        <x:v>NorthStar Inc</x:v>
      </x:c>
      <x:c r="F439" s="8" t="str">
        <x:v>Accessories</x:v>
      </x:c>
      <x:c r="G439" s="8" t="str">
        <x:v>Webcam HD</x:v>
      </x:c>
      <x:c r="H439" s="10" t="n">
        <x:v>7</x:v>
      </x:c>
      <x:c r="I439" s="11" t="n">
        <x:v>110</x:v>
      </x:c>
      <x:c r="J439" s="12" t="n">
        <x:v>0.1</x:v>
      </x:c>
      <x:c r="K439" s="11" t="n">
        <x:f>H439*I439*(1-J439)</x:f>
        <x:v>693</x:v>
      </x:c>
      <x:c r="L439" s="11" t="n">
        <x:f>H439*(I439*0.62)</x:f>
        <x:v>477.40000000000003</x:v>
      </x:c>
      <x:c r="M439" s="11" t="n">
        <x:f>K439-L439</x:f>
        <x:v>215.59999999999997</x:v>
      </x:c>
      <x:c r="N439" s="8" t="str">
        <x:v>Direct</x:v>
      </x:c>
      <x:c r="O439" s="8" t="str">
        <x:v>PayPal</x:v>
      </x:c>
      <x:c r="P439" s="8" t="str">
        <x:v>Closed Won</x:v>
      </x:c>
    </x:row>
    <x:row r="440">
      <x:c r="A440" s="8" t="str">
        <x:v>ORD-2025439</x:v>
      </x:c>
      <x:c r="B440" s="9" t="n">
        <x:v>45951</x:v>
      </x:c>
      <x:c r="C440" s="8" t="str">
        <x:v>Central</x:v>
      </x:c>
      <x:c r="D440" s="8" t="str">
        <x:v>Noah Davis</x:v>
      </x:c>
      <x:c r="E440" s="8" t="str">
        <x:v>Urban Inc</x:v>
      </x:c>
      <x:c r="F440" s="8" t="str">
        <x:v>Software</x:v>
      </x:c>
      <x:c r="G440" s="8" t="str">
        <x:v>Analytics Cloud</x:v>
      </x:c>
      <x:c r="H440" s="10" t="n">
        <x:v>21</x:v>
      </x:c>
      <x:c r="I440" s="11" t="n">
        <x:v>1800</x:v>
      </x:c>
      <x:c r="J440" s="12" t="n">
        <x:v>0.1</x:v>
      </x:c>
      <x:c r="K440" s="11" t="n">
        <x:f>H440*I440*(1-J440)</x:f>
        <x:v>34020</x:v>
      </x:c>
      <x:c r="L440" s="11" t="n">
        <x:f>H440*(I440*0.62)</x:f>
        <x:v>23436</x:v>
      </x:c>
      <x:c r="M440" s="11" t="n">
        <x:f>K440-L440</x:f>
        <x:v>10584</x:v>
      </x:c>
      <x:c r="N440" s="8" t="str">
        <x:v>Direct</x:v>
      </x:c>
      <x:c r="O440" s="8" t="str">
        <x:v>Bank Transfer</x:v>
      </x:c>
      <x:c r="P440" s="8" t="str">
        <x:v>Closed Won</x:v>
      </x:c>
    </x:row>
    <x:row r="441">
      <x:c r="A441" s="8" t="str">
        <x:v>ORD-2025440</x:v>
      </x:c>
      <x:c r="B441" s="9" t="n">
        <x:v>45922</x:v>
      </x:c>
      <x:c r="C441" s="8" t="str">
        <x:v>West</x:v>
      </x:c>
      <x:c r="D441" s="8" t="str">
        <x:v>Emma Martin</x:v>
      </x:c>
      <x:c r="E441" s="8" t="str">
        <x:v>Ironwood LLC</x:v>
      </x:c>
      <x:c r="F441" s="8" t="str">
        <x:v>Services</x:v>
      </x:c>
      <x:c r="G441" s="8" t="str">
        <x:v>Training</x:v>
      </x:c>
      <x:c r="H441" s="10" t="n">
        <x:v>21</x:v>
      </x:c>
      <x:c r="I441" s="11" t="n">
        <x:v>900</x:v>
      </x:c>
      <x:c r="J441" s="12" t="n">
        <x:v>0</x:v>
      </x:c>
      <x:c r="K441" s="11" t="n">
        <x:f>H441*I441*(1-J441)</x:f>
        <x:v>18900</x:v>
      </x:c>
      <x:c r="L441" s="11" t="n">
        <x:f>H441*(I441*0.62)</x:f>
        <x:v>11718</x:v>
      </x:c>
      <x:c r="M441" s="11" t="n">
        <x:f>K441-L441</x:f>
        <x:v>7182</x:v>
      </x:c>
      <x:c r="N441" s="8" t="str">
        <x:v>Online</x:v>
      </x:c>
      <x:c r="O441" s="8" t="str">
        <x:v>Invoice</x:v>
      </x:c>
      <x:c r="P441" s="8" t="str">
        <x:v>Cancelled</x:v>
      </x:c>
    </x:row>
    <x:row r="442">
      <x:c r="A442" s="8" t="str">
        <x:v>ORD-2025441</x:v>
      </x:c>
      <x:c r="B442" s="9" t="n">
        <x:v>45968</x:v>
      </x:c>
      <x:c r="C442" s="8" t="str">
        <x:v>West</x:v>
      </x:c>
      <x:c r="D442" s="8" t="str">
        <x:v>Olivia Wilson</x:v>
      </x:c>
      <x:c r="E442" s="8" t="str">
        <x:v>GreenLeaf Inc</x:v>
      </x:c>
      <x:c r="F442" s="8" t="str">
        <x:v>Hardware</x:v>
      </x:c>
      <x:c r="G442" s="8" t="str">
        <x:v>Monitor 27</x:v>
      </x:c>
      <x:c r="H442" s="10" t="n">
        <x:v>8</x:v>
      </x:c>
      <x:c r="I442" s="11" t="n">
        <x:v>320</x:v>
      </x:c>
      <x:c r="J442" s="12" t="n">
        <x:v>0.2</x:v>
      </x:c>
      <x:c r="K442" s="11" t="n">
        <x:f>H442*I442*(1-J442)</x:f>
        <x:v>2048</x:v>
      </x:c>
      <x:c r="L442" s="11" t="n">
        <x:f>H442*(I442*0.62)</x:f>
        <x:v>1587.2</x:v>
      </x:c>
      <x:c r="M442" s="11" t="n">
        <x:f>K442-L442</x:f>
        <x:v>460.79999999999995</x:v>
      </x:c>
      <x:c r="N442" s="8" t="str">
        <x:v>Partner</x:v>
      </x:c>
      <x:c r="O442" s="8" t="str">
        <x:v>Bank Transfer</x:v>
      </x:c>
      <x:c r="P442" s="8" t="str">
        <x:v>Shipped</x:v>
      </x:c>
    </x:row>
    <x:row r="443">
      <x:c r="A443" s="8" t="str">
        <x:v>ORD-2025442</x:v>
      </x:c>
      <x:c r="B443" s="9" t="n">
        <x:v>45743</x:v>
      </x:c>
      <x:c r="C443" s="8" t="str">
        <x:v>East</x:v>
      </x:c>
      <x:c r="D443" s="8" t="str">
        <x:v>Olivia Wilson</x:v>
      </x:c>
      <x:c r="E443" s="8" t="str">
        <x:v>Nova LLC</x:v>
      </x:c>
      <x:c r="F443" s="8" t="str">
        <x:v>Hardware</x:v>
      </x:c>
      <x:c r="G443" s="8" t="str">
        <x:v>Dock Station</x:v>
      </x:c>
      <x:c r="H443" s="10" t="n">
        <x:v>19</x:v>
      </x:c>
      <x:c r="I443" s="11" t="n">
        <x:v>180</x:v>
      </x:c>
      <x:c r="J443" s="12" t="n">
        <x:v>0</x:v>
      </x:c>
      <x:c r="K443" s="11" t="n">
        <x:f>H443*I443*(1-J443)</x:f>
        <x:v>3420</x:v>
      </x:c>
      <x:c r="L443" s="11" t="n">
        <x:f>H443*(I443*0.62)</x:f>
        <x:v>2120.4</x:v>
      </x:c>
      <x:c r="M443" s="11" t="n">
        <x:f>K443-L443</x:f>
        <x:v>1299.6</x:v>
      </x:c>
      <x:c r="N443" s="8" t="str">
        <x:v>Direct</x:v>
      </x:c>
      <x:c r="O443" s="8" t="str">
        <x:v>PayPal</x:v>
      </x:c>
      <x:c r="P443" s="8" t="str">
        <x:v>Closed Won</x:v>
      </x:c>
    </x:row>
    <x:row r="444">
      <x:c r="A444" s="8" t="str">
        <x:v>ORD-2025443</x:v>
      </x:c>
      <x:c r="B444" s="9" t="n">
        <x:v>45761</x:v>
      </x:c>
      <x:c r="C444" s="8" t="str">
        <x:v>Central</x:v>
      </x:c>
      <x:c r="D444" s="8" t="str">
        <x:v>Mason Lee</x:v>
      </x:c>
      <x:c r="E444" s="8" t="str">
        <x:v>RedStone Inc</x:v>
      </x:c>
      <x:c r="F444" s="8" t="str">
        <x:v>Software</x:v>
      </x:c>
      <x:c r="G444" s="8" t="str">
        <x:v>CRM Pro</x:v>
      </x:c>
      <x:c r="H444" s="10" t="n">
        <x:v>5</x:v>
      </x:c>
      <x:c r="I444" s="11" t="n">
        <x:v>1200</x:v>
      </x:c>
      <x:c r="J444" s="12" t="n">
        <x:v>0.1</x:v>
      </x:c>
      <x:c r="K444" s="11" t="n">
        <x:f>H444*I444*(1-J444)</x:f>
        <x:v>5400</x:v>
      </x:c>
      <x:c r="L444" s="11" t="n">
        <x:f>H444*(I444*0.62)</x:f>
        <x:v>3720</x:v>
      </x:c>
      <x:c r="M444" s="11" t="n">
        <x:f>K444-L444</x:f>
        <x:v>1680</x:v>
      </x:c>
      <x:c r="N444" s="8" t="str">
        <x:v>Direct</x:v>
      </x:c>
      <x:c r="O444" s="8" t="str">
        <x:v>Bank Transfer</x:v>
      </x:c>
      <x:c r="P444" s="8" t="str">
        <x:v>Pending</x:v>
      </x:c>
    </x:row>
    <x:row r="445">
      <x:c r="A445" s="8" t="str">
        <x:v>ORD-2025444</x:v>
      </x:c>
      <x:c r="B445" s="9" t="n">
        <x:v>45705</x:v>
      </x:c>
      <x:c r="C445" s="8" t="str">
        <x:v>West</x:v>
      </x:c>
      <x:c r="D445" s="8" t="str">
        <x:v>Noah Davis</x:v>
      </x:c>
      <x:c r="E445" s="8" t="str">
        <x:v>Nova Inc</x:v>
      </x:c>
      <x:c r="F445" s="8" t="str">
        <x:v>Software</x:v>
      </x:c>
      <x:c r="G445" s="8" t="str">
        <x:v>CRM Pro</x:v>
      </x:c>
      <x:c r="H445" s="10" t="n">
        <x:v>18</x:v>
      </x:c>
      <x:c r="I445" s="11" t="n">
        <x:v>1200</x:v>
      </x:c>
      <x:c r="J445" s="12" t="n">
        <x:v>0.2</x:v>
      </x:c>
      <x:c r="K445" s="11" t="n">
        <x:f>H445*I445*(1-J445)</x:f>
        <x:v>17280</x:v>
      </x:c>
      <x:c r="L445" s="11" t="n">
        <x:f>H445*(I445*0.62)</x:f>
        <x:v>13392</x:v>
      </x:c>
      <x:c r="M445" s="11" t="n">
        <x:f>K445-L445</x:f>
        <x:v>3888</x:v>
      </x:c>
      <x:c r="N445" s="8" t="str">
        <x:v>Direct</x:v>
      </x:c>
      <x:c r="O445" s="8" t="str">
        <x:v>PayPal</x:v>
      </x:c>
      <x:c r="P445" s="8" t="str">
        <x:v>Pending</x:v>
      </x:c>
    </x:row>
    <x:row r="446">
      <x:c r="A446" s="8" t="str">
        <x:v>ORD-2025445</x:v>
      </x:c>
      <x:c r="B446" s="9" t="n">
        <x:v>46015</x:v>
      </x:c>
      <x:c r="C446" s="8" t="str">
        <x:v>Central</x:v>
      </x:c>
      <x:c r="D446" s="8" t="str">
        <x:v>Lucas Brown</x:v>
      </x:c>
      <x:c r="E446" s="8" t="str">
        <x:v>Cedar Inc</x:v>
      </x:c>
      <x:c r="F446" s="8" t="str">
        <x:v>Services</x:v>
      </x:c>
      <x:c r="G446" s="8" t="str">
        <x:v>Implementation</x:v>
      </x:c>
      <x:c r="H446" s="10" t="n">
        <x:v>16</x:v>
      </x:c>
      <x:c r="I446" s="11" t="n">
        <x:v>2500</x:v>
      </x:c>
      <x:c r="J446" s="12" t="n">
        <x:v>0.2</x:v>
      </x:c>
      <x:c r="K446" s="11" t="n">
        <x:f>H446*I446*(1-J446)</x:f>
        <x:v>32000</x:v>
      </x:c>
      <x:c r="L446" s="11" t="n">
        <x:f>H446*(I446*0.62)</x:f>
        <x:v>24800</x:v>
      </x:c>
      <x:c r="M446" s="11" t="n">
        <x:f>K446-L446</x:f>
        <x:v>7200</x:v>
      </x:c>
      <x:c r="N446" s="8" t="str">
        <x:v>Partner</x:v>
      </x:c>
      <x:c r="O446" s="8" t="str">
        <x:v>Invoice</x:v>
      </x:c>
      <x:c r="P446" s="8" t="str">
        <x:v>Shipped</x:v>
      </x:c>
    </x:row>
    <x:row r="447">
      <x:c r="A447" s="8" t="str">
        <x:v>ORD-2025446</x:v>
      </x:c>
      <x:c r="B447" s="9" t="n">
        <x:v>45726</x:v>
      </x:c>
      <x:c r="C447" s="8" t="str">
        <x:v>East</x:v>
      </x:c>
      <x:c r="D447" s="8" t="str">
        <x:v>Olivia Wilson</x:v>
      </x:c>
      <x:c r="E447" s="8" t="str">
        <x:v>Cedar Inc</x:v>
      </x:c>
      <x:c r="F447" s="8" t="str">
        <x:v>Software</x:v>
      </x:c>
      <x:c r="G447" s="8" t="str">
        <x:v>ProjectFlow</x:v>
      </x:c>
      <x:c r="H447" s="10" t="n">
        <x:v>3</x:v>
      </x:c>
      <x:c r="I447" s="11" t="n">
        <x:v>700</x:v>
      </x:c>
      <x:c r="J447" s="12" t="n">
        <x:v>0</x:v>
      </x:c>
      <x:c r="K447" s="11" t="n">
        <x:f>H447*I447*(1-J447)</x:f>
        <x:v>2100</x:v>
      </x:c>
      <x:c r="L447" s="11" t="n">
        <x:f>H447*(I447*0.62)</x:f>
        <x:v>1302</x:v>
      </x:c>
      <x:c r="M447" s="11" t="n">
        <x:f>K447-L447</x:f>
        <x:v>798</x:v>
      </x:c>
      <x:c r="N447" s="8" t="str">
        <x:v>Online</x:v>
      </x:c>
      <x:c r="O447" s="8" t="str">
        <x:v>PayPal</x:v>
      </x:c>
      <x:c r="P447" s="8" t="str">
        <x:v>Closed Won</x:v>
      </x:c>
    </x:row>
    <x:row r="448">
      <x:c r="A448" s="8" t="str">
        <x:v>ORD-2025447</x:v>
      </x:c>
      <x:c r="B448" s="9" t="n">
        <x:v>45953</x:v>
      </x:c>
      <x:c r="C448" s="8" t="str">
        <x:v>Central</x:v>
      </x:c>
      <x:c r="D448" s="8" t="str">
        <x:v>Liam Chen</x:v>
      </x:c>
      <x:c r="E448" s="8" t="str">
        <x:v>Southridge Co</x:v>
      </x:c>
      <x:c r="F448" s="8" t="str">
        <x:v>Software</x:v>
      </x:c>
      <x:c r="G448" s="8" t="str">
        <x:v>CRM Pro</x:v>
      </x:c>
      <x:c r="H448" s="10" t="n">
        <x:v>1</x:v>
      </x:c>
      <x:c r="I448" s="11" t="n">
        <x:v>1200</x:v>
      </x:c>
      <x:c r="J448" s="12" t="n">
        <x:v>0.05</x:v>
      </x:c>
      <x:c r="K448" s="11" t="n">
        <x:f>H448*I448*(1-J448)</x:f>
        <x:v>1140</x:v>
      </x:c>
      <x:c r="L448" s="11" t="n">
        <x:f>H448*(I448*0.62)</x:f>
        <x:v>744</x:v>
      </x:c>
      <x:c r="M448" s="11" t="n">
        <x:f>K448-L448</x:f>
        <x:v>396</x:v>
      </x:c>
      <x:c r="N448" s="8" t="str">
        <x:v>Online</x:v>
      </x:c>
      <x:c r="O448" s="8" t="str">
        <x:v>Bank Transfer</x:v>
      </x:c>
      <x:c r="P448" s="8" t="str">
        <x:v>Shipped</x:v>
      </x:c>
    </x:row>
    <x:row r="449">
      <x:c r="A449" s="8" t="str">
        <x:v>ORD-2025448</x:v>
      </x:c>
      <x:c r="B449" s="9" t="n">
        <x:v>45843</x:v>
      </x:c>
      <x:c r="C449" s="8" t="str">
        <x:v>North</x:v>
      </x:c>
      <x:c r="D449" s="8" t="str">
        <x:v>Noah Davis</x:v>
      </x:c>
      <x:c r="E449" s="8" t="str">
        <x:v>RedStone Co</x:v>
      </x:c>
      <x:c r="F449" s="8" t="str">
        <x:v>Services</x:v>
      </x:c>
      <x:c r="G449" s="8" t="str">
        <x:v>Consulting Day</x:v>
      </x:c>
      <x:c r="H449" s="10" t="n">
        <x:v>21</x:v>
      </x:c>
      <x:c r="I449" s="11" t="n">
        <x:v>1400</x:v>
      </x:c>
      <x:c r="J449" s="12" t="n">
        <x:v>0.1</x:v>
      </x:c>
      <x:c r="K449" s="11" t="n">
        <x:f>H449*I449*(1-J449)</x:f>
        <x:v>26460</x:v>
      </x:c>
      <x:c r="L449" s="11" t="n">
        <x:f>H449*(I449*0.62)</x:f>
        <x:v>18228</x:v>
      </x:c>
      <x:c r="M449" s="11" t="n">
        <x:f>K449-L449</x:f>
        <x:v>8232</x:v>
      </x:c>
      <x:c r="N449" s="8" t="str">
        <x:v>Partner</x:v>
      </x:c>
      <x:c r="O449" s="8" t="str">
        <x:v>Invoice</x:v>
      </x:c>
      <x:c r="P449" s="8" t="str">
        <x:v>Returned</x:v>
      </x:c>
    </x:row>
    <x:row r="450">
      <x:c r="A450" s="8" t="str">
        <x:v>ORD-2025449</x:v>
      </x:c>
      <x:c r="B450" s="9" t="n">
        <x:v>45971</x:v>
      </x:c>
      <x:c r="C450" s="8" t="str">
        <x:v>East</x:v>
      </x:c>
      <x:c r="D450" s="8" t="str">
        <x:v>Lucas Brown</x:v>
      </x:c>
      <x:c r="E450" s="8" t="str">
        <x:v>Nexus Co</x:v>
      </x:c>
      <x:c r="F450" s="8" t="str">
        <x:v>Accessories</x:v>
      </x:c>
      <x:c r="G450" s="8" t="str">
        <x:v>Webcam HD</x:v>
      </x:c>
      <x:c r="H450" s="10" t="n">
        <x:v>14</x:v>
      </x:c>
      <x:c r="I450" s="11" t="n">
        <x:v>110</x:v>
      </x:c>
      <x:c r="J450" s="12" t="n">
        <x:v>0.1</x:v>
      </x:c>
      <x:c r="K450" s="11" t="n">
        <x:f>H450*I450*(1-J450)</x:f>
        <x:v>1386</x:v>
      </x:c>
      <x:c r="L450" s="11" t="n">
        <x:f>H450*(I450*0.62)</x:f>
        <x:v>954.8000000000001</x:v>
      </x:c>
      <x:c r="M450" s="11" t="n">
        <x:f>K450-L450</x:f>
        <x:v>431.19999999999993</x:v>
      </x:c>
      <x:c r="N450" s="8" t="str">
        <x:v>Online</x:v>
      </x:c>
      <x:c r="O450" s="8" t="str">
        <x:v>PayPal</x:v>
      </x:c>
      <x:c r="P450" s="8" t="str">
        <x:v>Closed Won</x:v>
      </x:c>
    </x:row>
    <x:row r="451">
      <x:c r="A451" s="8" t="str">
        <x:v>ORD-2025450</x:v>
      </x:c>
      <x:c r="B451" s="9" t="n">
        <x:v>45815</x:v>
      </x:c>
      <x:c r="C451" s="8" t="str">
        <x:v>Central</x:v>
      </x:c>
      <x:c r="D451" s="8" t="str">
        <x:v>Sophia Kim</x:v>
      </x:c>
      <x:c r="E451" s="8" t="str">
        <x:v>SilverLine Co</x:v>
      </x:c>
      <x:c r="F451" s="8" t="str">
        <x:v>Accessories</x:v>
      </x:c>
      <x:c r="G451" s="8" t="str">
        <x:v>Webcam HD</x:v>
      </x:c>
      <x:c r="H451" s="10" t="n">
        <x:v>24</x:v>
      </x:c>
      <x:c r="I451" s="11" t="n">
        <x:v>110</x:v>
      </x:c>
      <x:c r="J451" s="12" t="n">
        <x:v>0</x:v>
      </x:c>
      <x:c r="K451" s="11" t="n">
        <x:f>H451*I451*(1-J451)</x:f>
        <x:v>2640</x:v>
      </x:c>
      <x:c r="L451" s="11" t="n">
        <x:f>H451*(I451*0.62)</x:f>
        <x:v>1636.8000000000002</x:v>
      </x:c>
      <x:c r="M451" s="11" t="n">
        <x:f>K451-L451</x:f>
        <x:v>1003.1999999999998</x:v>
      </x:c>
      <x:c r="N451" s="8" t="str">
        <x:v>Online</x:v>
      </x:c>
      <x:c r="O451" s="8" t="str">
        <x:v>Credit Card</x:v>
      </x:c>
      <x:c r="P451" s="8" t="str">
        <x:v>Shipped</x:v>
      </x:c>
    </x:row>
    <x:row r="452">
      <x:c r="A452" s="8" t="str">
        <x:v>ORD-2025451</x:v>
      </x:c>
      <x:c r="B452" s="9" t="n">
        <x:v>45709</x:v>
      </x:c>
      <x:c r="C452" s="8" t="str">
        <x:v>South</x:v>
      </x:c>
      <x:c r="D452" s="8" t="str">
        <x:v>Mason Lee</x:v>
      </x:c>
      <x:c r="E452" s="8" t="str">
        <x:v>SilverLine Group</x:v>
      </x:c>
      <x:c r="F452" s="8" t="str">
        <x:v>Accessories</x:v>
      </x:c>
      <x:c r="G452" s="8" t="str">
        <x:v>Keyboard Pro</x:v>
      </x:c>
      <x:c r="H452" s="10" t="n">
        <x:v>11</x:v>
      </x:c>
      <x:c r="I452" s="11" t="n">
        <x:v>95</x:v>
      </x:c>
      <x:c r="J452" s="12" t="n">
        <x:v>0.2</x:v>
      </x:c>
      <x:c r="K452" s="11" t="n">
        <x:f>H452*I452*(1-J452)</x:f>
        <x:v>836</x:v>
      </x:c>
      <x:c r="L452" s="11" t="n">
        <x:f>H452*(I452*0.62)</x:f>
        <x:v>647.9</x:v>
      </x:c>
      <x:c r="M452" s="11" t="n">
        <x:f>K452-L452</x:f>
        <x:v>188.10000000000002</x:v>
      </x:c>
      <x:c r="N452" s="8" t="str">
        <x:v>Online</x:v>
      </x:c>
      <x:c r="O452" s="8" t="str">
        <x:v>Credit Card</x:v>
      </x:c>
      <x:c r="P452" s="8" t="str">
        <x:v>Closed Won</x:v>
      </x:c>
    </x:row>
    <x:row r="453">
      <x:c r="A453" s="8" t="str">
        <x:v>ORD-2025452</x:v>
      </x:c>
      <x:c r="B453" s="9" t="n">
        <x:v>45732</x:v>
      </x:c>
      <x:c r="C453" s="8" t="str">
        <x:v>West</x:v>
      </x:c>
      <x:c r="D453" s="8" t="str">
        <x:v>Emma Martin</x:v>
      </x:c>
      <x:c r="E453" s="8" t="str">
        <x:v>RedStone Group</x:v>
      </x:c>
      <x:c r="F453" s="8" t="str">
        <x:v>Software</x:v>
      </x:c>
      <x:c r="G453" s="8" t="str">
        <x:v>CRM Pro</x:v>
      </x:c>
      <x:c r="H453" s="10" t="n">
        <x:v>3</x:v>
      </x:c>
      <x:c r="I453" s="11" t="n">
        <x:v>1200</x:v>
      </x:c>
      <x:c r="J453" s="12" t="n">
        <x:v>0</x:v>
      </x:c>
      <x:c r="K453" s="11" t="n">
        <x:f>H453*I453*(1-J453)</x:f>
        <x:v>3600</x:v>
      </x:c>
      <x:c r="L453" s="11" t="n">
        <x:f>H453*(I453*0.62)</x:f>
        <x:v>2232</x:v>
      </x:c>
      <x:c r="M453" s="11" t="n">
        <x:f>K453-L453</x:f>
        <x:v>1368</x:v>
      </x:c>
      <x:c r="N453" s="8" t="str">
        <x:v>Partner</x:v>
      </x:c>
      <x:c r="O453" s="8" t="str">
        <x:v>Bank Transfer</x:v>
      </x:c>
      <x:c r="P453" s="8" t="str">
        <x:v>Closed Won</x:v>
      </x:c>
    </x:row>
    <x:row r="454">
      <x:c r="A454" s="8" t="str">
        <x:v>ORD-2025453</x:v>
      </x:c>
      <x:c r="B454" s="9" t="n">
        <x:v>45863</x:v>
      </x:c>
      <x:c r="C454" s="8" t="str">
        <x:v>Central</x:v>
      </x:c>
      <x:c r="D454" s="8" t="str">
        <x:v>Mason Lee</x:v>
      </x:c>
      <x:c r="E454" s="8" t="str">
        <x:v>Vertex LLC</x:v>
      </x:c>
      <x:c r="F454" s="8" t="str">
        <x:v>Software</x:v>
      </x:c>
      <x:c r="G454" s="8" t="str">
        <x:v>ProjectFlow</x:v>
      </x:c>
      <x:c r="H454" s="10" t="n">
        <x:v>23</x:v>
      </x:c>
      <x:c r="I454" s="11" t="n">
        <x:v>700</x:v>
      </x:c>
      <x:c r="J454" s="12" t="n">
        <x:v>0.1</x:v>
      </x:c>
      <x:c r="K454" s="11" t="n">
        <x:f>H454*I454*(1-J454)</x:f>
        <x:v>14490</x:v>
      </x:c>
      <x:c r="L454" s="11" t="n">
        <x:f>H454*(I454*0.62)</x:f>
        <x:v>9982</x:v>
      </x:c>
      <x:c r="M454" s="11" t="n">
        <x:f>K454-L454</x:f>
        <x:v>4508</x:v>
      </x:c>
      <x:c r="N454" s="8" t="str">
        <x:v>Direct</x:v>
      </x:c>
      <x:c r="O454" s="8" t="str">
        <x:v>Bank Transfer</x:v>
      </x:c>
      <x:c r="P454" s="8" t="str">
        <x:v>Shipped</x:v>
      </x:c>
    </x:row>
    <x:row r="455">
      <x:c r="A455" s="8" t="str">
        <x:v>ORD-2025454</x:v>
      </x:c>
      <x:c r="B455" s="9" t="n">
        <x:v>45761</x:v>
      </x:c>
      <x:c r="C455" s="8" t="str">
        <x:v>Central</x:v>
      </x:c>
      <x:c r="D455" s="8" t="str">
        <x:v>Ethan Garcia</x:v>
      </x:c>
      <x:c r="E455" s="8" t="str">
        <x:v>Nexus LLC</x:v>
      </x:c>
      <x:c r="F455" s="8" t="str">
        <x:v>Accessories</x:v>
      </x:c>
      <x:c r="G455" s="8" t="str">
        <x:v>Wireless Mouse</x:v>
      </x:c>
      <x:c r="H455" s="10" t="n">
        <x:v>2</x:v>
      </x:c>
      <x:c r="I455" s="11" t="n">
        <x:v>40</x:v>
      </x:c>
      <x:c r="J455" s="12" t="n">
        <x:v>0.2</x:v>
      </x:c>
      <x:c r="K455" s="11" t="n">
        <x:f>H455*I455*(1-J455)</x:f>
        <x:v>64</x:v>
      </x:c>
      <x:c r="L455" s="11" t="n">
        <x:f>H455*(I455*0.62)</x:f>
        <x:v>49.6</x:v>
      </x:c>
      <x:c r="M455" s="11" t="n">
        <x:f>K455-L455</x:f>
        <x:v>14.399999999999999</x:v>
      </x:c>
      <x:c r="N455" s="8" t="str">
        <x:v>Online</x:v>
      </x:c>
      <x:c r="O455" s="8" t="str">
        <x:v>Bank Transfer</x:v>
      </x:c>
      <x:c r="P455" s="8" t="str">
        <x:v>Shipped</x:v>
      </x:c>
    </x:row>
    <x:row r="456">
      <x:c r="A456" s="8" t="str">
        <x:v>ORD-2025455</x:v>
      </x:c>
      <x:c r="B456" s="9" t="n">
        <x:v>45780</x:v>
      </x:c>
      <x:c r="C456" s="8" t="str">
        <x:v>North</x:v>
      </x:c>
      <x:c r="D456" s="8" t="str">
        <x:v>Noah Davis</x:v>
      </x:c>
      <x:c r="E456" s="8" t="str">
        <x:v>BlueSky Group</x:v>
      </x:c>
      <x:c r="F456" s="8" t="str">
        <x:v>Software</x:v>
      </x:c>
      <x:c r="G456" s="8" t="str">
        <x:v>HR Suite</x:v>
      </x:c>
      <x:c r="H456" s="10" t="n">
        <x:v>9</x:v>
      </x:c>
      <x:c r="I456" s="11" t="n">
        <x:v>950</x:v>
      </x:c>
      <x:c r="J456" s="12" t="n">
        <x:v>0.2</x:v>
      </x:c>
      <x:c r="K456" s="11" t="n">
        <x:f>H456*I456*(1-J456)</x:f>
        <x:v>6840</x:v>
      </x:c>
      <x:c r="L456" s="11" t="n">
        <x:f>H456*(I456*0.62)</x:f>
        <x:v>5301</x:v>
      </x:c>
      <x:c r="M456" s="11" t="n">
        <x:f>K456-L456</x:f>
        <x:v>1539</x:v>
      </x:c>
      <x:c r="N456" s="8" t="str">
        <x:v>Partner</x:v>
      </x:c>
      <x:c r="O456" s="8" t="str">
        <x:v>Invoice</x:v>
      </x:c>
      <x:c r="P456" s="8" t="str">
        <x:v>Shipped</x:v>
      </x:c>
    </x:row>
    <x:row r="457">
      <x:c r="A457" s="8" t="str">
        <x:v>ORD-2025456</x:v>
      </x:c>
      <x:c r="B457" s="9" t="n">
        <x:v>45923</x:v>
      </x:c>
      <x:c r="C457" s="8" t="str">
        <x:v>North</x:v>
      </x:c>
      <x:c r="D457" s="8" t="str">
        <x:v>Liam Chen</x:v>
      </x:c>
      <x:c r="E457" s="8" t="str">
        <x:v>BlueSky Group</x:v>
      </x:c>
      <x:c r="F457" s="8" t="str">
        <x:v>Accessories</x:v>
      </x:c>
      <x:c r="G457" s="8" t="str">
        <x:v>Keyboard Pro</x:v>
      </x:c>
      <x:c r="H457" s="10" t="n">
        <x:v>18</x:v>
      </x:c>
      <x:c r="I457" s="11" t="n">
        <x:v>95</x:v>
      </x:c>
      <x:c r="J457" s="12" t="n">
        <x:v>0</x:v>
      </x:c>
      <x:c r="K457" s="11" t="n">
        <x:f>H457*I457*(1-J457)</x:f>
        <x:v>1710</x:v>
      </x:c>
      <x:c r="L457" s="11" t="n">
        <x:f>H457*(I457*0.62)</x:f>
        <x:v>1060.2</x:v>
      </x:c>
      <x:c r="M457" s="11" t="n">
        <x:f>K457-L457</x:f>
        <x:v>649.8</x:v>
      </x:c>
      <x:c r="N457" s="8" t="str">
        <x:v>Online</x:v>
      </x:c>
      <x:c r="O457" s="8" t="str">
        <x:v>Invoice</x:v>
      </x:c>
      <x:c r="P457" s="8" t="str">
        <x:v>Closed Won</x:v>
      </x:c>
    </x:row>
    <x:row r="458">
      <x:c r="A458" s="8" t="str">
        <x:v>ORD-2025457</x:v>
      </x:c>
      <x:c r="B458" s="9" t="n">
        <x:v>45968</x:v>
      </x:c>
      <x:c r="C458" s="8" t="str">
        <x:v>South</x:v>
      </x:c>
      <x:c r="D458" s="8" t="str">
        <x:v>Olivia Wilson</x:v>
      </x:c>
      <x:c r="E458" s="8" t="str">
        <x:v>SilverLine Group</x:v>
      </x:c>
      <x:c r="F458" s="8" t="str">
        <x:v>Services</x:v>
      </x:c>
      <x:c r="G458" s="8" t="str">
        <x:v>Training</x:v>
      </x:c>
      <x:c r="H458" s="10" t="n">
        <x:v>19</x:v>
      </x:c>
      <x:c r="I458" s="11" t="n">
        <x:v>900</x:v>
      </x:c>
      <x:c r="J458" s="12" t="n">
        <x:v>0</x:v>
      </x:c>
      <x:c r="K458" s="11" t="n">
        <x:f>H458*I458*(1-J458)</x:f>
        <x:v>17100</x:v>
      </x:c>
      <x:c r="L458" s="11" t="n">
        <x:f>H458*(I458*0.62)</x:f>
        <x:v>10602</x:v>
      </x:c>
      <x:c r="M458" s="11" t="n">
        <x:f>K458-L458</x:f>
        <x:v>6498</x:v>
      </x:c>
      <x:c r="N458" s="8" t="str">
        <x:v>Partner</x:v>
      </x:c>
      <x:c r="O458" s="8" t="str">
        <x:v>Bank Transfer</x:v>
      </x:c>
      <x:c r="P458" s="8" t="str">
        <x:v>Closed Won</x:v>
      </x:c>
    </x:row>
    <x:row r="459">
      <x:c r="A459" s="8" t="str">
        <x:v>ORD-2025458</x:v>
      </x:c>
      <x:c r="B459" s="9" t="n">
        <x:v>45915</x:v>
      </x:c>
      <x:c r="C459" s="8" t="str">
        <x:v>East</x:v>
      </x:c>
      <x:c r="D459" s="8" t="str">
        <x:v>Sophia Kim</x:v>
      </x:c>
      <x:c r="E459" s="8" t="str">
        <x:v>Pioneer Co</x:v>
      </x:c>
      <x:c r="F459" s="8" t="str">
        <x:v>Software</x:v>
      </x:c>
      <x:c r="G459" s="8" t="str">
        <x:v>CRM Pro</x:v>
      </x:c>
      <x:c r="H459" s="10" t="n">
        <x:v>17</x:v>
      </x:c>
      <x:c r="I459" s="11" t="n">
        <x:v>1200</x:v>
      </x:c>
      <x:c r="J459" s="12" t="n">
        <x:v>0</x:v>
      </x:c>
      <x:c r="K459" s="11" t="n">
        <x:f>H459*I459*(1-J459)</x:f>
        <x:v>20400</x:v>
      </x:c>
      <x:c r="L459" s="11" t="n">
        <x:f>H459*(I459*0.62)</x:f>
        <x:v>12648</x:v>
      </x:c>
      <x:c r="M459" s="11" t="n">
        <x:f>K459-L459</x:f>
        <x:v>7752</x:v>
      </x:c>
      <x:c r="N459" s="8" t="str">
        <x:v>Online</x:v>
      </x:c>
      <x:c r="O459" s="8" t="str">
        <x:v>Invoice</x:v>
      </x:c>
      <x:c r="P459" s="8" t="str">
        <x:v>Shipped</x:v>
      </x:c>
    </x:row>
    <x:row r="460">
      <x:c r="A460" s="8" t="str">
        <x:v>ORD-2025459</x:v>
      </x:c>
      <x:c r="B460" s="9" t="n">
        <x:v>45782</x:v>
      </x:c>
      <x:c r="C460" s="8" t="str">
        <x:v>East</x:v>
      </x:c>
      <x:c r="D460" s="8" t="str">
        <x:v>Olivia Wilson</x:v>
      </x:c>
      <x:c r="E460" s="8" t="str">
        <x:v>GoldenGate Co</x:v>
      </x:c>
      <x:c r="F460" s="8" t="str">
        <x:v>Accessories</x:v>
      </x:c>
      <x:c r="G460" s="8" t="str">
        <x:v>Headset</x:v>
      </x:c>
      <x:c r="H460" s="10" t="n">
        <x:v>19</x:v>
      </x:c>
      <x:c r="I460" s="11" t="n">
        <x:v>85</x:v>
      </x:c>
      <x:c r="J460" s="12" t="n">
        <x:v>0.2</x:v>
      </x:c>
      <x:c r="K460" s="11" t="n">
        <x:f>H460*I460*(1-J460)</x:f>
        <x:v>1292</x:v>
      </x:c>
      <x:c r="L460" s="11" t="n">
        <x:f>H460*(I460*0.62)</x:f>
        <x:v>1001.3000000000001</x:v>
      </x:c>
      <x:c r="M460" s="11" t="n">
        <x:f>K460-L460</x:f>
        <x:v>290.69999999999993</x:v>
      </x:c>
      <x:c r="N460" s="8" t="str">
        <x:v>Direct</x:v>
      </x:c>
      <x:c r="O460" s="8" t="str">
        <x:v>PayPal</x:v>
      </x:c>
      <x:c r="P460" s="8" t="str">
        <x:v>Closed Won</x:v>
      </x:c>
    </x:row>
    <x:row r="461">
      <x:c r="A461" s="8" t="str">
        <x:v>ORD-2025460</x:v>
      </x:c>
      <x:c r="B461" s="9" t="n">
        <x:v>45982</x:v>
      </x:c>
      <x:c r="C461" s="8" t="str">
        <x:v>South</x:v>
      </x:c>
      <x:c r="D461" s="8" t="str">
        <x:v>Mia Johnson</x:v>
      </x:c>
      <x:c r="E461" s="8" t="str">
        <x:v>BrightPath LLC</x:v>
      </x:c>
      <x:c r="F461" s="8" t="str">
        <x:v>Software</x:v>
      </x:c>
      <x:c r="G461" s="8" t="str">
        <x:v>ProjectFlow</x:v>
      </x:c>
      <x:c r="H461" s="10" t="n">
        <x:v>14</x:v>
      </x:c>
      <x:c r="I461" s="11" t="n">
        <x:v>700</x:v>
      </x:c>
      <x:c r="J461" s="12" t="n">
        <x:v>0</x:v>
      </x:c>
      <x:c r="K461" s="11" t="n">
        <x:f>H461*I461*(1-J461)</x:f>
        <x:v>9800</x:v>
      </x:c>
      <x:c r="L461" s="11" t="n">
        <x:f>H461*(I461*0.62)</x:f>
        <x:v>6076</x:v>
      </x:c>
      <x:c r="M461" s="11" t="n">
        <x:f>K461-L461</x:f>
        <x:v>3724</x:v>
      </x:c>
      <x:c r="N461" s="8" t="str">
        <x:v>Online</x:v>
      </x:c>
      <x:c r="O461" s="8" t="str">
        <x:v>Credit Card</x:v>
      </x:c>
      <x:c r="P461" s="8" t="str">
        <x:v>Shipped</x:v>
      </x:c>
    </x:row>
    <x:row r="462">
      <x:c r="A462" s="8" t="str">
        <x:v>ORD-2025461</x:v>
      </x:c>
      <x:c r="B462" s="9" t="n">
        <x:v>45805</x:v>
      </x:c>
      <x:c r="C462" s="8" t="str">
        <x:v>North</x:v>
      </x:c>
      <x:c r="D462" s="8" t="str">
        <x:v>Lucas Brown</x:v>
      </x:c>
      <x:c r="E462" s="8" t="str">
        <x:v>BrightPath Group</x:v>
      </x:c>
      <x:c r="F462" s="8" t="str">
        <x:v>Services</x:v>
      </x:c>
      <x:c r="G462" s="8" t="str">
        <x:v>Training</x:v>
      </x:c>
      <x:c r="H462" s="10" t="n">
        <x:v>3</x:v>
      </x:c>
      <x:c r="I462" s="11" t="n">
        <x:v>900</x:v>
      </x:c>
      <x:c r="J462" s="12" t="n">
        <x:v>0.1</x:v>
      </x:c>
      <x:c r="K462" s="11" t="n">
        <x:f>H462*I462*(1-J462)</x:f>
        <x:v>2430</x:v>
      </x:c>
      <x:c r="L462" s="11" t="n">
        <x:f>H462*(I462*0.62)</x:f>
        <x:v>1674</x:v>
      </x:c>
      <x:c r="M462" s="11" t="n">
        <x:f>K462-L462</x:f>
        <x:v>756</x:v>
      </x:c>
      <x:c r="N462" s="8" t="str">
        <x:v>Direct</x:v>
      </x:c>
      <x:c r="O462" s="8" t="str">
        <x:v>PayPal</x:v>
      </x:c>
      <x:c r="P462" s="8" t="str">
        <x:v>Closed Won</x:v>
      </x:c>
    </x:row>
    <x:row r="463">
      <x:c r="A463" s="8" t="str">
        <x:v>ORD-2025462</x:v>
      </x:c>
      <x:c r="B463" s="9" t="n">
        <x:v>45751</x:v>
      </x:c>
      <x:c r="C463" s="8" t="str">
        <x:v>South</x:v>
      </x:c>
      <x:c r="D463" s="8" t="str">
        <x:v>Olivia Wilson</x:v>
      </x:c>
      <x:c r="E463" s="8" t="str">
        <x:v>Nexus Inc</x:v>
      </x:c>
      <x:c r="F463" s="8" t="str">
        <x:v>Hardware</x:v>
      </x:c>
      <x:c r="G463" s="8" t="str">
        <x:v>Dock Station</x:v>
      </x:c>
      <x:c r="H463" s="10" t="n">
        <x:v>8</x:v>
      </x:c>
      <x:c r="I463" s="11" t="n">
        <x:v>180</x:v>
      </x:c>
      <x:c r="J463" s="12" t="n">
        <x:v>0.15</x:v>
      </x:c>
      <x:c r="K463" s="11" t="n">
        <x:f>H463*I463*(1-J463)</x:f>
        <x:v>1224</x:v>
      </x:c>
      <x:c r="L463" s="11" t="n">
        <x:f>H463*(I463*0.62)</x:f>
        <x:v>892.8</x:v>
      </x:c>
      <x:c r="M463" s="11" t="n">
        <x:f>K463-L463</x:f>
        <x:v>331.20000000000005</x:v>
      </x:c>
      <x:c r="N463" s="8" t="str">
        <x:v>Direct</x:v>
      </x:c>
      <x:c r="O463" s="8" t="str">
        <x:v>Invoice</x:v>
      </x:c>
      <x:c r="P463" s="8" t="str">
        <x:v>Closed Won</x:v>
      </x:c>
    </x:row>
    <x:row r="464">
      <x:c r="A464" s="8" t="str">
        <x:v>ORD-2025463</x:v>
      </x:c>
      <x:c r="B464" s="9" t="n">
        <x:v>45974</x:v>
      </x:c>
      <x:c r="C464" s="8" t="str">
        <x:v>East</x:v>
      </x:c>
      <x:c r="D464" s="8" t="str">
        <x:v>Noah Davis</x:v>
      </x:c>
      <x:c r="E464" s="8" t="str">
        <x:v>Pioneer Inc</x:v>
      </x:c>
      <x:c r="F464" s="8" t="str">
        <x:v>Hardware</x:v>
      </x:c>
      <x:c r="G464" s="8" t="str">
        <x:v>Tablet Air</x:v>
      </x:c>
      <x:c r="H464" s="10" t="n">
        <x:v>4</x:v>
      </x:c>
      <x:c r="I464" s="11" t="n">
        <x:v>820</x:v>
      </x:c>
      <x:c r="J464" s="12" t="n">
        <x:v>0</x:v>
      </x:c>
      <x:c r="K464" s="11" t="n">
        <x:f>H464*I464*(1-J464)</x:f>
        <x:v>3280</x:v>
      </x:c>
      <x:c r="L464" s="11" t="n">
        <x:f>H464*(I464*0.62)</x:f>
        <x:v>2033.6</x:v>
      </x:c>
      <x:c r="M464" s="11" t="n">
        <x:f>K464-L464</x:f>
        <x:v>1246.4</x:v>
      </x:c>
      <x:c r="N464" s="8" t="str">
        <x:v>Online</x:v>
      </x:c>
      <x:c r="O464" s="8" t="str">
        <x:v>PayPal</x:v>
      </x:c>
      <x:c r="P464" s="8" t="str">
        <x:v>Shipped</x:v>
      </x:c>
    </x:row>
    <x:row r="465">
      <x:c r="A465" s="8" t="str">
        <x:v>ORD-2025464</x:v>
      </x:c>
      <x:c r="B465" s="9" t="n">
        <x:v>45848</x:v>
      </x:c>
      <x:c r="C465" s="8" t="str">
        <x:v>Central</x:v>
      </x:c>
      <x:c r="D465" s="8" t="str">
        <x:v>Sophia Kim</x:v>
      </x:c>
      <x:c r="E465" s="8" t="str">
        <x:v>NorthStar Group</x:v>
      </x:c>
      <x:c r="F465" s="8" t="str">
        <x:v>Software</x:v>
      </x:c>
      <x:c r="G465" s="8" t="str">
        <x:v>ProjectFlow</x:v>
      </x:c>
      <x:c r="H465" s="10" t="n">
        <x:v>19</x:v>
      </x:c>
      <x:c r="I465" s="11" t="n">
        <x:v>700</x:v>
      </x:c>
      <x:c r="J465" s="12" t="n">
        <x:v>0.2</x:v>
      </x:c>
      <x:c r="K465" s="11" t="n">
        <x:f>H465*I465*(1-J465)</x:f>
        <x:v>10640</x:v>
      </x:c>
      <x:c r="L465" s="11" t="n">
        <x:f>H465*(I465*0.62)</x:f>
        <x:v>8246</x:v>
      </x:c>
      <x:c r="M465" s="11" t="n">
        <x:f>K465-L465</x:f>
        <x:v>2394</x:v>
      </x:c>
      <x:c r="N465" s="8" t="str">
        <x:v>Partner</x:v>
      </x:c>
      <x:c r="O465" s="8" t="str">
        <x:v>PayPal</x:v>
      </x:c>
      <x:c r="P465" s="8" t="str">
        <x:v>Closed Won</x:v>
      </x:c>
    </x:row>
    <x:row r="466">
      <x:c r="A466" s="8" t="str">
        <x:v>ORD-2025465</x:v>
      </x:c>
      <x:c r="B466" s="9" t="n">
        <x:v>45771</x:v>
      </x:c>
      <x:c r="C466" s="8" t="str">
        <x:v>Central</x:v>
      </x:c>
      <x:c r="D466" s="8" t="str">
        <x:v>Noah Davis</x:v>
      </x:c>
      <x:c r="E466" s="8" t="str">
        <x:v>Summit Co</x:v>
      </x:c>
      <x:c r="F466" s="8" t="str">
        <x:v>Services</x:v>
      </x:c>
      <x:c r="G466" s="8" t="str">
        <x:v>Consulting Day</x:v>
      </x:c>
      <x:c r="H466" s="10" t="n">
        <x:v>17</x:v>
      </x:c>
      <x:c r="I466" s="11" t="n">
        <x:v>1400</x:v>
      </x:c>
      <x:c r="J466" s="12" t="n">
        <x:v>0.2</x:v>
      </x:c>
      <x:c r="K466" s="11" t="n">
        <x:f>H466*I466*(1-J466)</x:f>
        <x:v>19040</x:v>
      </x:c>
      <x:c r="L466" s="11" t="n">
        <x:f>H466*(I466*0.62)</x:f>
        <x:v>14756</x:v>
      </x:c>
      <x:c r="M466" s="11" t="n">
        <x:f>K466-L466</x:f>
        <x:v>4284</x:v>
      </x:c>
      <x:c r="N466" s="8" t="str">
        <x:v>Partner</x:v>
      </x:c>
      <x:c r="O466" s="8" t="str">
        <x:v>PayPal</x:v>
      </x:c>
      <x:c r="P466" s="8" t="str">
        <x:v>Cancelled</x:v>
      </x:c>
    </x:row>
    <x:row r="467">
      <x:c r="A467" s="8" t="str">
        <x:v>ORD-2025466</x:v>
      </x:c>
      <x:c r="B467" s="9" t="n">
        <x:v>45859</x:v>
      </x:c>
      <x:c r="C467" s="8" t="str">
        <x:v>South</x:v>
      </x:c>
      <x:c r="D467" s="8" t="str">
        <x:v>Olivia Wilson</x:v>
      </x:c>
      <x:c r="E467" s="8" t="str">
        <x:v>Pioneer Group</x:v>
      </x:c>
      <x:c r="F467" s="8" t="str">
        <x:v>Software</x:v>
      </x:c>
      <x:c r="G467" s="8" t="str">
        <x:v>HR Suite</x:v>
      </x:c>
      <x:c r="H467" s="10" t="n">
        <x:v>23</x:v>
      </x:c>
      <x:c r="I467" s="11" t="n">
        <x:v>950</x:v>
      </x:c>
      <x:c r="J467" s="12" t="n">
        <x:v>0.1</x:v>
      </x:c>
      <x:c r="K467" s="11" t="n">
        <x:f>H467*I467*(1-J467)</x:f>
        <x:v>19665</x:v>
      </x:c>
      <x:c r="L467" s="11" t="n">
        <x:f>H467*(I467*0.62)</x:f>
        <x:v>13547</x:v>
      </x:c>
      <x:c r="M467" s="11" t="n">
        <x:f>K467-L467</x:f>
        <x:v>6118</x:v>
      </x:c>
      <x:c r="N467" s="8" t="str">
        <x:v>Partner</x:v>
      </x:c>
      <x:c r="O467" s="8" t="str">
        <x:v>Invoice</x:v>
      </x:c>
      <x:c r="P467" s="8" t="str">
        <x:v>Shipped</x:v>
      </x:c>
    </x:row>
    <x:row r="468">
      <x:c r="A468" s="8" t="str">
        <x:v>ORD-2025467</x:v>
      </x:c>
      <x:c r="B468" s="9" t="n">
        <x:v>45852</x:v>
      </x:c>
      <x:c r="C468" s="8" t="str">
        <x:v>Central</x:v>
      </x:c>
      <x:c r="D468" s="8" t="str">
        <x:v>Liam Chen</x:v>
      </x:c>
      <x:c r="E468" s="8" t="str">
        <x:v>BrightPath Inc</x:v>
      </x:c>
      <x:c r="F468" s="8" t="str">
        <x:v>Software</x:v>
      </x:c>
      <x:c r="G468" s="8" t="str">
        <x:v>Analytics Cloud</x:v>
      </x:c>
      <x:c r="H468" s="10" t="n">
        <x:v>12</x:v>
      </x:c>
      <x:c r="I468" s="11" t="n">
        <x:v>1800</x:v>
      </x:c>
      <x:c r="J468" s="12" t="n">
        <x:v>0.1</x:v>
      </x:c>
      <x:c r="K468" s="11" t="n">
        <x:f>H468*I468*(1-J468)</x:f>
        <x:v>19440</x:v>
      </x:c>
      <x:c r="L468" s="11" t="n">
        <x:f>H468*(I468*0.62)</x:f>
        <x:v>13392</x:v>
      </x:c>
      <x:c r="M468" s="11" t="n">
        <x:f>K468-L468</x:f>
        <x:v>6048</x:v>
      </x:c>
      <x:c r="N468" s="8" t="str">
        <x:v>Partner</x:v>
      </x:c>
      <x:c r="O468" s="8" t="str">
        <x:v>Bank Transfer</x:v>
      </x:c>
      <x:c r="P468" s="8" t="str">
        <x:v>Pending</x:v>
      </x:c>
    </x:row>
    <x:row r="469">
      <x:c r="A469" s="8" t="str">
        <x:v>ORD-2025468</x:v>
      </x:c>
      <x:c r="B469" s="9" t="n">
        <x:v>45899</x:v>
      </x:c>
      <x:c r="C469" s="8" t="str">
        <x:v>Central</x:v>
      </x:c>
      <x:c r="D469" s="8" t="str">
        <x:v>Sophia Kim</x:v>
      </x:c>
      <x:c r="E469" s="8" t="str">
        <x:v>Harbor Co</x:v>
      </x:c>
      <x:c r="F469" s="8" t="str">
        <x:v>Hardware</x:v>
      </x:c>
      <x:c r="G469" s="8" t="str">
        <x:v>Dock Station</x:v>
      </x:c>
      <x:c r="H469" s="10" t="n">
        <x:v>6</x:v>
      </x:c>
      <x:c r="I469" s="11" t="n">
        <x:v>180</x:v>
      </x:c>
      <x:c r="J469" s="12" t="n">
        <x:v>0.05</x:v>
      </x:c>
      <x:c r="K469" s="11" t="n">
        <x:f>H469*I469*(1-J469)</x:f>
        <x:v>1026</x:v>
      </x:c>
      <x:c r="L469" s="11" t="n">
        <x:f>H469*(I469*0.62)</x:f>
        <x:v>669.5999999999999</x:v>
      </x:c>
      <x:c r="M469" s="11" t="n">
        <x:f>K469-L469</x:f>
        <x:v>356.4000000000001</x:v>
      </x:c>
      <x:c r="N469" s="8" t="str">
        <x:v>Partner</x:v>
      </x:c>
      <x:c r="O469" s="8" t="str">
        <x:v>Bank Transfer</x:v>
      </x:c>
      <x:c r="P469" s="8" t="str">
        <x:v>Closed Won</x:v>
      </x:c>
    </x:row>
    <x:row r="470">
      <x:c r="A470" s="8" t="str">
        <x:v>ORD-2025469</x:v>
      </x:c>
      <x:c r="B470" s="9" t="n">
        <x:v>45863</x:v>
      </x:c>
      <x:c r="C470" s="8" t="str">
        <x:v>East</x:v>
      </x:c>
      <x:c r="D470" s="8" t="str">
        <x:v>Olivia Wilson</x:v>
      </x:c>
      <x:c r="E470" s="8" t="str">
        <x:v>GreenLeaf Group</x:v>
      </x:c>
      <x:c r="F470" s="8" t="str">
        <x:v>Services</x:v>
      </x:c>
      <x:c r="G470" s="8" t="str">
        <x:v>Support Plus</x:v>
      </x:c>
      <x:c r="H470" s="10" t="n">
        <x:v>19</x:v>
      </x:c>
      <x:c r="I470" s="11" t="n">
        <x:v>650</x:v>
      </x:c>
      <x:c r="J470" s="12" t="n">
        <x:v>0</x:v>
      </x:c>
      <x:c r="K470" s="11" t="n">
        <x:f>H470*I470*(1-J470)</x:f>
        <x:v>12350</x:v>
      </x:c>
      <x:c r="L470" s="11" t="n">
        <x:f>H470*(I470*0.62)</x:f>
        <x:v>7657</x:v>
      </x:c>
      <x:c r="M470" s="11" t="n">
        <x:f>K470-L470</x:f>
        <x:v>4693</x:v>
      </x:c>
      <x:c r="N470" s="8" t="str">
        <x:v>Online</x:v>
      </x:c>
      <x:c r="O470" s="8" t="str">
        <x:v>Bank Transfer</x:v>
      </x:c>
      <x:c r="P470" s="8" t="str">
        <x:v>Returned</x:v>
      </x:c>
    </x:row>
    <x:row r="471">
      <x:c r="A471" s="8" t="str">
        <x:v>ORD-2025470</x:v>
      </x:c>
      <x:c r="B471" s="9" t="n">
        <x:v>45942</x:v>
      </x:c>
      <x:c r="C471" s="8" t="str">
        <x:v>West</x:v>
      </x:c>
      <x:c r="D471" s="8" t="str">
        <x:v>Lucas Brown</x:v>
      </x:c>
      <x:c r="E471" s="8" t="str">
        <x:v>Nexus Inc</x:v>
      </x:c>
      <x:c r="F471" s="8" t="str">
        <x:v>Services</x:v>
      </x:c>
      <x:c r="G471" s="8" t="str">
        <x:v>Training</x:v>
      </x:c>
      <x:c r="H471" s="10" t="n">
        <x:v>5</x:v>
      </x:c>
      <x:c r="I471" s="11" t="n">
        <x:v>900</x:v>
      </x:c>
      <x:c r="J471" s="12" t="n">
        <x:v>0.2</x:v>
      </x:c>
      <x:c r="K471" s="11" t="n">
        <x:f>H471*I471*(1-J471)</x:f>
        <x:v>3600</x:v>
      </x:c>
      <x:c r="L471" s="11" t="n">
        <x:f>H471*(I471*0.62)</x:f>
        <x:v>2790</x:v>
      </x:c>
      <x:c r="M471" s="11" t="n">
        <x:f>K471-L471</x:f>
        <x:v>810</x:v>
      </x:c>
      <x:c r="N471" s="8" t="str">
        <x:v>Online</x:v>
      </x:c>
      <x:c r="O471" s="8" t="str">
        <x:v>Bank Transfer</x:v>
      </x:c>
      <x:c r="P471" s="8" t="str">
        <x:v>Pending</x:v>
      </x:c>
    </x:row>
    <x:row r="472">
      <x:c r="A472" s="8" t="str">
        <x:v>ORD-2025471</x:v>
      </x:c>
      <x:c r="B472" s="9" t="n">
        <x:v>45873</x:v>
      </x:c>
      <x:c r="C472" s="8" t="str">
        <x:v>West</x:v>
      </x:c>
      <x:c r="D472" s="8" t="str">
        <x:v>Noah Davis</x:v>
      </x:c>
      <x:c r="E472" s="8" t="str">
        <x:v>Southridge Co</x:v>
      </x:c>
      <x:c r="F472" s="8" t="str">
        <x:v>Software</x:v>
      </x:c>
      <x:c r="G472" s="8" t="str">
        <x:v>Analytics Cloud</x:v>
      </x:c>
      <x:c r="H472" s="10" t="n">
        <x:v>18</x:v>
      </x:c>
      <x:c r="I472" s="11" t="n">
        <x:v>1800</x:v>
      </x:c>
      <x:c r="J472" s="12" t="n">
        <x:v>0.15</x:v>
      </x:c>
      <x:c r="K472" s="11" t="n">
        <x:f>H472*I472*(1-J472)</x:f>
        <x:v>27540</x:v>
      </x:c>
      <x:c r="L472" s="11" t="n">
        <x:f>H472*(I472*0.62)</x:f>
        <x:v>20088</x:v>
      </x:c>
      <x:c r="M472" s="11" t="n">
        <x:f>K472-L472</x:f>
        <x:v>7452</x:v>
      </x:c>
      <x:c r="N472" s="8" t="str">
        <x:v>Partner</x:v>
      </x:c>
      <x:c r="O472" s="8" t="str">
        <x:v>PayPal</x:v>
      </x:c>
      <x:c r="P472" s="8" t="str">
        <x:v>Closed Won</x:v>
      </x:c>
    </x:row>
    <x:row r="473">
      <x:c r="A473" s="8" t="str">
        <x:v>ORD-2025472</x:v>
      </x:c>
      <x:c r="B473" s="9" t="n">
        <x:v>45708</x:v>
      </x:c>
      <x:c r="C473" s="8" t="str">
        <x:v>South</x:v>
      </x:c>
      <x:c r="D473" s="8" t="str">
        <x:v>Ava Patel</x:v>
      </x:c>
      <x:c r="E473" s="8" t="str">
        <x:v>Nexus Group</x:v>
      </x:c>
      <x:c r="F473" s="8" t="str">
        <x:v>Software</x:v>
      </x:c>
      <x:c r="G473" s="8" t="str">
        <x:v>ProjectFlow</x:v>
      </x:c>
      <x:c r="H473" s="10" t="n">
        <x:v>9</x:v>
      </x:c>
      <x:c r="I473" s="11" t="n">
        <x:v>700</x:v>
      </x:c>
      <x:c r="J473" s="12" t="n">
        <x:v>0.05</x:v>
      </x:c>
      <x:c r="K473" s="11" t="n">
        <x:f>H473*I473*(1-J473)</x:f>
        <x:v>5985</x:v>
      </x:c>
      <x:c r="L473" s="11" t="n">
        <x:f>H473*(I473*0.62)</x:f>
        <x:v>3906</x:v>
      </x:c>
      <x:c r="M473" s="11" t="n">
        <x:f>K473-L473</x:f>
        <x:v>2079</x:v>
      </x:c>
      <x:c r="N473" s="8" t="str">
        <x:v>Online</x:v>
      </x:c>
      <x:c r="O473" s="8" t="str">
        <x:v>Credit Card</x:v>
      </x:c>
      <x:c r="P473" s="8" t="str">
        <x:v>Closed Won</x:v>
      </x:c>
    </x:row>
    <x:row r="474">
      <x:c r="A474" s="8" t="str">
        <x:v>ORD-2025473</x:v>
      </x:c>
      <x:c r="B474" s="9" t="n">
        <x:v>45842</x:v>
      </x:c>
      <x:c r="C474" s="8" t="str">
        <x:v>East</x:v>
      </x:c>
      <x:c r="D474" s="8" t="str">
        <x:v>Mason Lee</x:v>
      </x:c>
      <x:c r="E474" s="8" t="str">
        <x:v>Maple Group</x:v>
      </x:c>
      <x:c r="F474" s="8" t="str">
        <x:v>Services</x:v>
      </x:c>
      <x:c r="G474" s="8" t="str">
        <x:v>Support Plus</x:v>
      </x:c>
      <x:c r="H474" s="10" t="n">
        <x:v>9</x:v>
      </x:c>
      <x:c r="I474" s="11" t="n">
        <x:v>650</x:v>
      </x:c>
      <x:c r="J474" s="12" t="n">
        <x:v>0</x:v>
      </x:c>
      <x:c r="K474" s="11" t="n">
        <x:f>H474*I474*(1-J474)</x:f>
        <x:v>5850</x:v>
      </x:c>
      <x:c r="L474" s="11" t="n">
        <x:f>H474*(I474*0.62)</x:f>
        <x:v>3627</x:v>
      </x:c>
      <x:c r="M474" s="11" t="n">
        <x:f>K474-L474</x:f>
        <x:v>2223</x:v>
      </x:c>
      <x:c r="N474" s="8" t="str">
        <x:v>Direct</x:v>
      </x:c>
      <x:c r="O474" s="8" t="str">
        <x:v>PayPal</x:v>
      </x:c>
      <x:c r="P474" s="8" t="str">
        <x:v>Closed Won</x:v>
      </x:c>
    </x:row>
    <x:row r="475">
      <x:c r="A475" s="8" t="str">
        <x:v>ORD-2025474</x:v>
      </x:c>
      <x:c r="B475" s="9" t="n">
        <x:v>45803</x:v>
      </x:c>
      <x:c r="C475" s="8" t="str">
        <x:v>East</x:v>
      </x:c>
      <x:c r="D475" s="8" t="str">
        <x:v>Sophia Kim</x:v>
      </x:c>
      <x:c r="E475" s="8" t="str">
        <x:v>Southridge Inc</x:v>
      </x:c>
      <x:c r="F475" s="8" t="str">
        <x:v>Hardware</x:v>
      </x:c>
      <x:c r="G475" s="8" t="str">
        <x:v>Tablet Air</x:v>
      </x:c>
      <x:c r="H475" s="10" t="n">
        <x:v>16</x:v>
      </x:c>
      <x:c r="I475" s="11" t="n">
        <x:v>820</x:v>
      </x:c>
      <x:c r="J475" s="12" t="n">
        <x:v>0.2</x:v>
      </x:c>
      <x:c r="K475" s="11" t="n">
        <x:f>H475*I475*(1-J475)</x:f>
        <x:v>10496</x:v>
      </x:c>
      <x:c r="L475" s="11" t="n">
        <x:f>H475*(I475*0.62)</x:f>
        <x:v>8134.4</x:v>
      </x:c>
      <x:c r="M475" s="11" t="n">
        <x:f>K475-L475</x:f>
        <x:v>2361.6000000000004</x:v>
      </x:c>
      <x:c r="N475" s="8" t="str">
        <x:v>Online</x:v>
      </x:c>
      <x:c r="O475" s="8" t="str">
        <x:v>PayPal</x:v>
      </x:c>
      <x:c r="P475" s="8" t="str">
        <x:v>Cancelled</x:v>
      </x:c>
    </x:row>
    <x:row r="476">
      <x:c r="A476" s="8" t="str">
        <x:v>ORD-2025475</x:v>
      </x:c>
      <x:c r="B476" s="9" t="n">
        <x:v>45895</x:v>
      </x:c>
      <x:c r="C476" s="8" t="str">
        <x:v>South</x:v>
      </x:c>
      <x:c r="D476" s="8" t="str">
        <x:v>Noah Davis</x:v>
      </x:c>
      <x:c r="E476" s="8" t="str">
        <x:v>BrightPath Group</x:v>
      </x:c>
      <x:c r="F476" s="8" t="str">
        <x:v>Accessories</x:v>
      </x:c>
      <x:c r="G476" s="8" t="str">
        <x:v>Webcam HD</x:v>
      </x:c>
      <x:c r="H476" s="10" t="n">
        <x:v>14</x:v>
      </x:c>
      <x:c r="I476" s="11" t="n">
        <x:v>110</x:v>
      </x:c>
      <x:c r="J476" s="12" t="n">
        <x:v>0.15</x:v>
      </x:c>
      <x:c r="K476" s="11" t="n">
        <x:f>H476*I476*(1-J476)</x:f>
        <x:v>1309</x:v>
      </x:c>
      <x:c r="L476" s="11" t="n">
        <x:f>H476*(I476*0.62)</x:f>
        <x:v>954.8000000000001</x:v>
      </x:c>
      <x:c r="M476" s="11" t="n">
        <x:f>K476-L476</x:f>
        <x:v>354.19999999999993</x:v>
      </x:c>
      <x:c r="N476" s="8" t="str">
        <x:v>Online</x:v>
      </x:c>
      <x:c r="O476" s="8" t="str">
        <x:v>PayPal</x:v>
      </x:c>
      <x:c r="P476" s="8" t="str">
        <x:v>Returned</x:v>
      </x:c>
    </x:row>
    <x:row r="477">
      <x:c r="A477" s="8" t="str">
        <x:v>ORD-2025476</x:v>
      </x:c>
      <x:c r="B477" s="9" t="n">
        <x:v>45740</x:v>
      </x:c>
      <x:c r="C477" s="8" t="str">
        <x:v>East</x:v>
      </x:c>
      <x:c r="D477" s="8" t="str">
        <x:v>Mia Johnson</x:v>
      </x:c>
      <x:c r="E477" s="8" t="str">
        <x:v>BrightPath LLC</x:v>
      </x:c>
      <x:c r="F477" s="8" t="str">
        <x:v>Software</x:v>
      </x:c>
      <x:c r="G477" s="8" t="str">
        <x:v>CRM Pro</x:v>
      </x:c>
      <x:c r="H477" s="10" t="n">
        <x:v>11</x:v>
      </x:c>
      <x:c r="I477" s="11" t="n">
        <x:v>1200</x:v>
      </x:c>
      <x:c r="J477" s="12" t="n">
        <x:v>0.15</x:v>
      </x:c>
      <x:c r="K477" s="11" t="n">
        <x:f>H477*I477*(1-J477)</x:f>
        <x:v>11220</x:v>
      </x:c>
      <x:c r="L477" s="11" t="n">
        <x:f>H477*(I477*0.62)</x:f>
        <x:v>8184</x:v>
      </x:c>
      <x:c r="M477" s="11" t="n">
        <x:f>K477-L477</x:f>
        <x:v>3036</x:v>
      </x:c>
      <x:c r="N477" s="8" t="str">
        <x:v>Partner</x:v>
      </x:c>
      <x:c r="O477" s="8" t="str">
        <x:v>Invoice</x:v>
      </x:c>
      <x:c r="P477" s="8" t="str">
        <x:v>Shipped</x:v>
      </x:c>
    </x:row>
    <x:row r="478">
      <x:c r="A478" s="8" t="str">
        <x:v>ORD-2025477</x:v>
      </x:c>
      <x:c r="B478" s="9" t="n">
        <x:v>45885</x:v>
      </x:c>
      <x:c r="C478" s="8" t="str">
        <x:v>East</x:v>
      </x:c>
      <x:c r="D478" s="8" t="str">
        <x:v>Emma Martin</x:v>
      </x:c>
      <x:c r="E478" s="8" t="str">
        <x:v>Southridge Co</x:v>
      </x:c>
      <x:c r="F478" s="8" t="str">
        <x:v>Accessories</x:v>
      </x:c>
      <x:c r="G478" s="8" t="str">
        <x:v>Webcam HD</x:v>
      </x:c>
      <x:c r="H478" s="10" t="n">
        <x:v>15</x:v>
      </x:c>
      <x:c r="I478" s="11" t="n">
        <x:v>110</x:v>
      </x:c>
      <x:c r="J478" s="12" t="n">
        <x:v>0.05</x:v>
      </x:c>
      <x:c r="K478" s="11" t="n">
        <x:f>H478*I478*(1-J478)</x:f>
        <x:v>1567.5</x:v>
      </x:c>
      <x:c r="L478" s="11" t="n">
        <x:f>H478*(I478*0.62)</x:f>
        <x:v>1023</x:v>
      </x:c>
      <x:c r="M478" s="11" t="n">
        <x:f>K478-L478</x:f>
        <x:v>544.5</x:v>
      </x:c>
      <x:c r="N478" s="8" t="str">
        <x:v>Direct</x:v>
      </x:c>
      <x:c r="O478" s="8" t="str">
        <x:v>Bank Transfer</x:v>
      </x:c>
      <x:c r="P478" s="8" t="str">
        <x:v>Returned</x:v>
      </x:c>
    </x:row>
    <x:row r="479">
      <x:c r="A479" s="8" t="str">
        <x:v>ORD-2025478</x:v>
      </x:c>
      <x:c r="B479" s="9" t="n">
        <x:v>45996</x:v>
      </x:c>
      <x:c r="C479" s="8" t="str">
        <x:v>East</x:v>
      </x:c>
      <x:c r="D479" s="8" t="str">
        <x:v>Liam Chen</x:v>
      </x:c>
      <x:c r="E479" s="8" t="str">
        <x:v>Nexus Co</x:v>
      </x:c>
      <x:c r="F479" s="8" t="str">
        <x:v>Hardware</x:v>
      </x:c>
      <x:c r="G479" s="8" t="str">
        <x:v>Tablet Air</x:v>
      </x:c>
      <x:c r="H479" s="10" t="n">
        <x:v>6</x:v>
      </x:c>
      <x:c r="I479" s="11" t="n">
        <x:v>820</x:v>
      </x:c>
      <x:c r="J479" s="12" t="n">
        <x:v>0.05</x:v>
      </x:c>
      <x:c r="K479" s="11" t="n">
        <x:f>H479*I479*(1-J479)</x:f>
        <x:v>4674</x:v>
      </x:c>
      <x:c r="L479" s="11" t="n">
        <x:f>H479*(I479*0.62)</x:f>
        <x:v>3050.3999999999996</x:v>
      </x:c>
      <x:c r="M479" s="11" t="n">
        <x:f>K479-L479</x:f>
        <x:v>1623.6000000000004</x:v>
      </x:c>
      <x:c r="N479" s="8" t="str">
        <x:v>Direct</x:v>
      </x:c>
      <x:c r="O479" s="8" t="str">
        <x:v>Credit Card</x:v>
      </x:c>
      <x:c r="P479" s="8" t="str">
        <x:v>Closed Won</x:v>
      </x:c>
    </x:row>
    <x:row r="480">
      <x:c r="A480" s="8" t="str">
        <x:v>ORD-2025479</x:v>
      </x:c>
      <x:c r="B480" s="9" t="n">
        <x:v>45671</x:v>
      </x:c>
      <x:c r="C480" s="8" t="str">
        <x:v>West</x:v>
      </x:c>
      <x:c r="D480" s="8" t="str">
        <x:v>Mason Lee</x:v>
      </x:c>
      <x:c r="E480" s="8" t="str">
        <x:v>BlueSky Co</x:v>
      </x:c>
      <x:c r="F480" s="8" t="str">
        <x:v>Accessories</x:v>
      </x:c>
      <x:c r="G480" s="8" t="str">
        <x:v>Wireless Mouse</x:v>
      </x:c>
      <x:c r="H480" s="10" t="n">
        <x:v>4</x:v>
      </x:c>
      <x:c r="I480" s="11" t="n">
        <x:v>40</x:v>
      </x:c>
      <x:c r="J480" s="12" t="n">
        <x:v>0</x:v>
      </x:c>
      <x:c r="K480" s="11" t="n">
        <x:f>H480*I480*(1-J480)</x:f>
        <x:v>160</x:v>
      </x:c>
      <x:c r="L480" s="11" t="n">
        <x:f>H480*(I480*0.62)</x:f>
        <x:v>99.2</x:v>
      </x:c>
      <x:c r="M480" s="11" t="n">
        <x:f>K480-L480</x:f>
        <x:v>60.8</x:v>
      </x:c>
      <x:c r="N480" s="8" t="str">
        <x:v>Online</x:v>
      </x:c>
      <x:c r="O480" s="8" t="str">
        <x:v>Bank Transfer</x:v>
      </x:c>
      <x:c r="P480" s="8" t="str">
        <x:v>Closed Won</x:v>
      </x:c>
    </x:row>
    <x:row r="481">
      <x:c r="A481" s="8" t="str">
        <x:v>ORD-2025480</x:v>
      </x:c>
      <x:c r="B481" s="9" t="n">
        <x:v>45775</x:v>
      </x:c>
      <x:c r="C481" s="8" t="str">
        <x:v>South</x:v>
      </x:c>
      <x:c r="D481" s="8" t="str">
        <x:v>Ethan Garcia</x:v>
      </x:c>
      <x:c r="E481" s="8" t="str">
        <x:v>GoldenGate LLC</x:v>
      </x:c>
      <x:c r="F481" s="8" t="str">
        <x:v>Accessories</x:v>
      </x:c>
      <x:c r="G481" s="8" t="str">
        <x:v>Webcam HD</x:v>
      </x:c>
      <x:c r="H481" s="10" t="n">
        <x:v>21</x:v>
      </x:c>
      <x:c r="I481" s="11" t="n">
        <x:v>110</x:v>
      </x:c>
      <x:c r="J481" s="12" t="n">
        <x:v>0</x:v>
      </x:c>
      <x:c r="K481" s="11" t="n">
        <x:f>H481*I481*(1-J481)</x:f>
        <x:v>2310</x:v>
      </x:c>
      <x:c r="L481" s="11" t="n">
        <x:f>H481*(I481*0.62)</x:f>
        <x:v>1432.2</x:v>
      </x:c>
      <x:c r="M481" s="11" t="n">
        <x:f>K481-L481</x:f>
        <x:v>877.8</x:v>
      </x:c>
      <x:c r="N481" s="8" t="str">
        <x:v>Direct</x:v>
      </x:c>
      <x:c r="O481" s="8" t="str">
        <x:v>Bank Transfer</x:v>
      </x:c>
      <x:c r="P481" s="8" t="str">
        <x:v>Closed Won</x:v>
      </x:c>
    </x:row>
    <x:row r="482">
      <x:c r="A482" s="8" t="str">
        <x:v>ORD-2025481</x:v>
      </x:c>
      <x:c r="B482" s="9" t="n">
        <x:v>45901</x:v>
      </x:c>
      <x:c r="C482" s="8" t="str">
        <x:v>West</x:v>
      </x:c>
      <x:c r="D482" s="8" t="str">
        <x:v>Mason Lee</x:v>
      </x:c>
      <x:c r="E482" s="8" t="str">
        <x:v>Prime Co</x:v>
      </x:c>
      <x:c r="F482" s="8" t="str">
        <x:v>Services</x:v>
      </x:c>
      <x:c r="G482" s="8" t="str">
        <x:v>Support Plus</x:v>
      </x:c>
      <x:c r="H482" s="10" t="n">
        <x:v>18</x:v>
      </x:c>
      <x:c r="I482" s="11" t="n">
        <x:v>650</x:v>
      </x:c>
      <x:c r="J482" s="12" t="n">
        <x:v>0.05</x:v>
      </x:c>
      <x:c r="K482" s="11" t="n">
        <x:f>H482*I482*(1-J482)</x:f>
        <x:v>11115</x:v>
      </x:c>
      <x:c r="L482" s="11" t="n">
        <x:f>H482*(I482*0.62)</x:f>
        <x:v>7254</x:v>
      </x:c>
      <x:c r="M482" s="11" t="n">
        <x:f>K482-L482</x:f>
        <x:v>3861</x:v>
      </x:c>
      <x:c r="N482" s="8" t="str">
        <x:v>Direct</x:v>
      </x:c>
      <x:c r="O482" s="8" t="str">
        <x:v>Bank Transfer</x:v>
      </x:c>
      <x:c r="P482" s="8" t="str">
        <x:v>Shipped</x:v>
      </x:c>
    </x:row>
    <x:row r="483">
      <x:c r="A483" s="8" t="str">
        <x:v>ORD-2025482</x:v>
      </x:c>
      <x:c r="B483" s="9" t="n">
        <x:v>45926</x:v>
      </x:c>
      <x:c r="C483" s="8" t="str">
        <x:v>Central</x:v>
      </x:c>
      <x:c r="D483" s="8" t="str">
        <x:v>Ethan Garcia</x:v>
      </x:c>
      <x:c r="E483" s="8" t="str">
        <x:v>Harbor LLC</x:v>
      </x:c>
      <x:c r="F483" s="8" t="str">
        <x:v>Accessories</x:v>
      </x:c>
      <x:c r="G483" s="8" t="str">
        <x:v>Headset</x:v>
      </x:c>
      <x:c r="H483" s="10" t="n">
        <x:v>16</x:v>
      </x:c>
      <x:c r="I483" s="11" t="n">
        <x:v>85</x:v>
      </x:c>
      <x:c r="J483" s="12" t="n">
        <x:v>0.1</x:v>
      </x:c>
      <x:c r="K483" s="11" t="n">
        <x:f>H483*I483*(1-J483)</x:f>
        <x:v>1224</x:v>
      </x:c>
      <x:c r="L483" s="11" t="n">
        <x:f>H483*(I483*0.62)</x:f>
        <x:v>843.2</x:v>
      </x:c>
      <x:c r="M483" s="11" t="n">
        <x:f>K483-L483</x:f>
        <x:v>380.79999999999995</x:v>
      </x:c>
      <x:c r="N483" s="8" t="str">
        <x:v>Direct</x:v>
      </x:c>
      <x:c r="O483" s="8" t="str">
        <x:v>Credit Card</x:v>
      </x:c>
      <x:c r="P483" s="8" t="str">
        <x:v>Closed Won</x:v>
      </x:c>
    </x:row>
    <x:row r="484">
      <x:c r="A484" s="8" t="str">
        <x:v>ORD-2025483</x:v>
      </x:c>
      <x:c r="B484" s="9" t="n">
        <x:v>45791</x:v>
      </x:c>
      <x:c r="C484" s="8" t="str">
        <x:v>South</x:v>
      </x:c>
      <x:c r="D484" s="8" t="str">
        <x:v>Ethan Garcia</x:v>
      </x:c>
      <x:c r="E484" s="8" t="str">
        <x:v>Acme Inc</x:v>
      </x:c>
      <x:c r="F484" s="8" t="str">
        <x:v>Services</x:v>
      </x:c>
      <x:c r="G484" s="8" t="str">
        <x:v>Consulting Day</x:v>
      </x:c>
      <x:c r="H484" s="10" t="n">
        <x:v>1</x:v>
      </x:c>
      <x:c r="I484" s="11" t="n">
        <x:v>1400</x:v>
      </x:c>
      <x:c r="J484" s="12" t="n">
        <x:v>0.1</x:v>
      </x:c>
      <x:c r="K484" s="11" t="n">
        <x:f>H484*I484*(1-J484)</x:f>
        <x:v>1260</x:v>
      </x:c>
      <x:c r="L484" s="11" t="n">
        <x:f>H484*(I484*0.62)</x:f>
        <x:v>868</x:v>
      </x:c>
      <x:c r="M484" s="11" t="n">
        <x:f>K484-L484</x:f>
        <x:v>392</x:v>
      </x:c>
      <x:c r="N484" s="8" t="str">
        <x:v>Direct</x:v>
      </x:c>
      <x:c r="O484" s="8" t="str">
        <x:v>Invoice</x:v>
      </x:c>
      <x:c r="P484" s="8" t="str">
        <x:v>Closed Won</x:v>
      </x:c>
    </x:row>
    <x:row r="485">
      <x:c r="A485" s="8" t="str">
        <x:v>ORD-2025484</x:v>
      </x:c>
      <x:c r="B485" s="9" t="n">
        <x:v>45902</x:v>
      </x:c>
      <x:c r="C485" s="8" t="str">
        <x:v>East</x:v>
      </x:c>
      <x:c r="D485" s="8" t="str">
        <x:v>Ava Patel</x:v>
      </x:c>
      <x:c r="E485" s="8" t="str">
        <x:v>RedStone Group</x:v>
      </x:c>
      <x:c r="F485" s="8" t="str">
        <x:v>Software</x:v>
      </x:c>
      <x:c r="G485" s="8" t="str">
        <x:v>ProjectFlow</x:v>
      </x:c>
      <x:c r="H485" s="10" t="n">
        <x:v>10</x:v>
      </x:c>
      <x:c r="I485" s="11" t="n">
        <x:v>700</x:v>
      </x:c>
      <x:c r="J485" s="12" t="n">
        <x:v>0.1</x:v>
      </x:c>
      <x:c r="K485" s="11" t="n">
        <x:f>H485*I485*(1-J485)</x:f>
        <x:v>6300</x:v>
      </x:c>
      <x:c r="L485" s="11" t="n">
        <x:f>H485*(I485*0.62)</x:f>
        <x:v>4340</x:v>
      </x:c>
      <x:c r="M485" s="11" t="n">
        <x:f>K485-L485</x:f>
        <x:v>1960</x:v>
      </x:c>
      <x:c r="N485" s="8" t="str">
        <x:v>Direct</x:v>
      </x:c>
      <x:c r="O485" s="8" t="str">
        <x:v>Credit Card</x:v>
      </x:c>
      <x:c r="P485" s="8" t="str">
        <x:v>Pending</x:v>
      </x:c>
    </x:row>
    <x:row r="486">
      <x:c r="A486" s="8" t="str">
        <x:v>ORD-2025485</x:v>
      </x:c>
      <x:c r="B486" s="9" t="n">
        <x:v>45945</x:v>
      </x:c>
      <x:c r="C486" s="8" t="str">
        <x:v>West</x:v>
      </x:c>
      <x:c r="D486" s="8" t="str">
        <x:v>Lucas Brown</x:v>
      </x:c>
      <x:c r="E486" s="8" t="str">
        <x:v>Cedar Group</x:v>
      </x:c>
      <x:c r="F486" s="8" t="str">
        <x:v>Hardware</x:v>
      </x:c>
      <x:c r="G486" s="8" t="str">
        <x:v>Monitor 27</x:v>
      </x:c>
      <x:c r="H486" s="10" t="n">
        <x:v>6</x:v>
      </x:c>
      <x:c r="I486" s="11" t="n">
        <x:v>320</x:v>
      </x:c>
      <x:c r="J486" s="12" t="n">
        <x:v>0.15</x:v>
      </x:c>
      <x:c r="K486" s="11" t="n">
        <x:f>H486*I486*(1-J486)</x:f>
        <x:v>1632</x:v>
      </x:c>
      <x:c r="L486" s="11" t="n">
        <x:f>H486*(I486*0.62)</x:f>
        <x:v>1190.4</x:v>
      </x:c>
      <x:c r="M486" s="11" t="n">
        <x:f>K486-L486</x:f>
        <x:v>441.5999999999999</x:v>
      </x:c>
      <x:c r="N486" s="8" t="str">
        <x:v>Online</x:v>
      </x:c>
      <x:c r="O486" s="8" t="str">
        <x:v>PayPal</x:v>
      </x:c>
      <x:c r="P486" s="8" t="str">
        <x:v>Returned</x:v>
      </x:c>
    </x:row>
    <x:row r="487">
      <x:c r="A487" s="8" t="str">
        <x:v>ORD-2025486</x:v>
      </x:c>
      <x:c r="B487" s="9" t="n">
        <x:v>45698</x:v>
      </x:c>
      <x:c r="C487" s="8" t="str">
        <x:v>West</x:v>
      </x:c>
      <x:c r="D487" s="8" t="str">
        <x:v>Mia Johnson</x:v>
      </x:c>
      <x:c r="E487" s="8" t="str">
        <x:v>Southridge Co</x:v>
      </x:c>
      <x:c r="F487" s="8" t="str">
        <x:v>Hardware</x:v>
      </x:c>
      <x:c r="G487" s="8" t="str">
        <x:v>Dock Station</x:v>
      </x:c>
      <x:c r="H487" s="10" t="n">
        <x:v>25</x:v>
      </x:c>
      <x:c r="I487" s="11" t="n">
        <x:v>180</x:v>
      </x:c>
      <x:c r="J487" s="12" t="n">
        <x:v>0.2</x:v>
      </x:c>
      <x:c r="K487" s="11" t="n">
        <x:f>H487*I487*(1-J487)</x:f>
        <x:v>3600</x:v>
      </x:c>
      <x:c r="L487" s="11" t="n">
        <x:f>H487*(I487*0.62)</x:f>
        <x:v>2790</x:v>
      </x:c>
      <x:c r="M487" s="11" t="n">
        <x:f>K487-L487</x:f>
        <x:v>810</x:v>
      </x:c>
      <x:c r="N487" s="8" t="str">
        <x:v>Online</x:v>
      </x:c>
      <x:c r="O487" s="8" t="str">
        <x:v>Invoice</x:v>
      </x:c>
      <x:c r="P487" s="8" t="str">
        <x:v>Closed Won</x:v>
      </x:c>
    </x:row>
    <x:row r="488">
      <x:c r="A488" s="8" t="str">
        <x:v>ORD-2025487</x:v>
      </x:c>
      <x:c r="B488" s="9" t="n">
        <x:v>45754</x:v>
      </x:c>
      <x:c r="C488" s="8" t="str">
        <x:v>North</x:v>
      </x:c>
      <x:c r="D488" s="8" t="str">
        <x:v>Noah Davis</x:v>
      </x:c>
      <x:c r="E488" s="8" t="str">
        <x:v>Urban Inc</x:v>
      </x:c>
      <x:c r="F488" s="8" t="str">
        <x:v>Services</x:v>
      </x:c>
      <x:c r="G488" s="8" t="str">
        <x:v>Consulting Day</x:v>
      </x:c>
      <x:c r="H488" s="10" t="n">
        <x:v>10</x:v>
      </x:c>
      <x:c r="I488" s="11" t="n">
        <x:v>1400</x:v>
      </x:c>
      <x:c r="J488" s="12" t="n">
        <x:v>0</x:v>
      </x:c>
      <x:c r="K488" s="11" t="n">
        <x:f>H488*I488*(1-J488)</x:f>
        <x:v>14000</x:v>
      </x:c>
      <x:c r="L488" s="11" t="n">
        <x:f>H488*(I488*0.62)</x:f>
        <x:v>8680</x:v>
      </x:c>
      <x:c r="M488" s="11" t="n">
        <x:f>K488-L488</x:f>
        <x:v>5320</x:v>
      </x:c>
      <x:c r="N488" s="8" t="str">
        <x:v>Online</x:v>
      </x:c>
      <x:c r="O488" s="8" t="str">
        <x:v>PayPal</x:v>
      </x:c>
      <x:c r="P488" s="8" t="str">
        <x:v>Shipped</x:v>
      </x:c>
    </x:row>
    <x:row r="489">
      <x:c r="A489" s="8" t="str">
        <x:v>ORD-2025488</x:v>
      </x:c>
      <x:c r="B489" s="9" t="n">
        <x:v>45754</x:v>
      </x:c>
      <x:c r="C489" s="8" t="str">
        <x:v>East</x:v>
      </x:c>
      <x:c r="D489" s="8" t="str">
        <x:v>Ava Patel</x:v>
      </x:c>
      <x:c r="E489" s="8" t="str">
        <x:v>Urban Group</x:v>
      </x:c>
      <x:c r="F489" s="8" t="str">
        <x:v>Services</x:v>
      </x:c>
      <x:c r="G489" s="8" t="str">
        <x:v>Consulting Day</x:v>
      </x:c>
      <x:c r="H489" s="10" t="n">
        <x:v>2</x:v>
      </x:c>
      <x:c r="I489" s="11" t="n">
        <x:v>1400</x:v>
      </x:c>
      <x:c r="J489" s="12" t="n">
        <x:v>0.1</x:v>
      </x:c>
      <x:c r="K489" s="11" t="n">
        <x:f>H489*I489*(1-J489)</x:f>
        <x:v>2520</x:v>
      </x:c>
      <x:c r="L489" s="11" t="n">
        <x:f>H489*(I489*0.62)</x:f>
        <x:v>1736</x:v>
      </x:c>
      <x:c r="M489" s="11" t="n">
        <x:f>K489-L489</x:f>
        <x:v>784</x:v>
      </x:c>
      <x:c r="N489" s="8" t="str">
        <x:v>Direct</x:v>
      </x:c>
      <x:c r="O489" s="8" t="str">
        <x:v>Bank Transfer</x:v>
      </x:c>
      <x:c r="P489" s="8" t="str">
        <x:v>Cancelled</x:v>
      </x:c>
    </x:row>
    <x:row r="490">
      <x:c r="A490" s="8" t="str">
        <x:v>ORD-2025489</x:v>
      </x:c>
      <x:c r="B490" s="9" t="n">
        <x:v>45722</x:v>
      </x:c>
      <x:c r="C490" s="8" t="str">
        <x:v>West</x:v>
      </x:c>
      <x:c r="D490" s="8" t="str">
        <x:v>Ava Patel</x:v>
      </x:c>
      <x:c r="E490" s="8" t="str">
        <x:v>Cedar Inc</x:v>
      </x:c>
      <x:c r="F490" s="8" t="str">
        <x:v>Services</x:v>
      </x:c>
      <x:c r="G490" s="8" t="str">
        <x:v>Support Plus</x:v>
      </x:c>
      <x:c r="H490" s="10" t="n">
        <x:v>3</x:v>
      </x:c>
      <x:c r="I490" s="11" t="n">
        <x:v>650</x:v>
      </x:c>
      <x:c r="J490" s="12" t="n">
        <x:v>0</x:v>
      </x:c>
      <x:c r="K490" s="11" t="n">
        <x:f>H490*I490*(1-J490)</x:f>
        <x:v>1950</x:v>
      </x:c>
      <x:c r="L490" s="11" t="n">
        <x:f>H490*(I490*0.62)</x:f>
        <x:v>1209</x:v>
      </x:c>
      <x:c r="M490" s="11" t="n">
        <x:f>K490-L490</x:f>
        <x:v>741</x:v>
      </x:c>
      <x:c r="N490" s="8" t="str">
        <x:v>Direct</x:v>
      </x:c>
      <x:c r="O490" s="8" t="str">
        <x:v>PayPal</x:v>
      </x:c>
      <x:c r="P490" s="8" t="str">
        <x:v>Closed Won</x:v>
      </x:c>
    </x:row>
    <x:row r="491">
      <x:c r="A491" s="8" t="str">
        <x:v>ORD-2025490</x:v>
      </x:c>
      <x:c r="B491" s="9" t="n">
        <x:v>45913</x:v>
      </x:c>
      <x:c r="C491" s="8" t="str">
        <x:v>East</x:v>
      </x:c>
      <x:c r="D491" s="8" t="str">
        <x:v>Olivia Wilson</x:v>
      </x:c>
      <x:c r="E491" s="8" t="str">
        <x:v>Summit LLC</x:v>
      </x:c>
      <x:c r="F491" s="8" t="str">
        <x:v>Accessories</x:v>
      </x:c>
      <x:c r="G491" s="8" t="str">
        <x:v>Webcam HD</x:v>
      </x:c>
      <x:c r="H491" s="10" t="n">
        <x:v>11</x:v>
      </x:c>
      <x:c r="I491" s="11" t="n">
        <x:v>110</x:v>
      </x:c>
      <x:c r="J491" s="12" t="n">
        <x:v>0</x:v>
      </x:c>
      <x:c r="K491" s="11" t="n">
        <x:f>H491*I491*(1-J491)</x:f>
        <x:v>1210</x:v>
      </x:c>
      <x:c r="L491" s="11" t="n">
        <x:f>H491*(I491*0.62)</x:f>
        <x:v>750.2</x:v>
      </x:c>
      <x:c r="M491" s="11" t="n">
        <x:f>K491-L491</x:f>
        <x:v>459.79999999999995</x:v>
      </x:c>
      <x:c r="N491" s="8" t="str">
        <x:v>Direct</x:v>
      </x:c>
      <x:c r="O491" s="8" t="str">
        <x:v>Credit Card</x:v>
      </x:c>
      <x:c r="P491" s="8" t="str">
        <x:v>Closed Won</x:v>
      </x:c>
    </x:row>
    <x:row r="492">
      <x:c r="A492" s="8" t="str">
        <x:v>ORD-2025491</x:v>
      </x:c>
      <x:c r="B492" s="9" t="n">
        <x:v>45936</x:v>
      </x:c>
      <x:c r="C492" s="8" t="str">
        <x:v>West</x:v>
      </x:c>
      <x:c r="D492" s="8" t="str">
        <x:v>Noah Davis</x:v>
      </x:c>
      <x:c r="E492" s="8" t="str">
        <x:v>Nexus LLC</x:v>
      </x:c>
      <x:c r="F492" s="8" t="str">
        <x:v>Accessories</x:v>
      </x:c>
      <x:c r="G492" s="8" t="str">
        <x:v>Wireless Mouse</x:v>
      </x:c>
      <x:c r="H492" s="10" t="n">
        <x:v>9</x:v>
      </x:c>
      <x:c r="I492" s="11" t="n">
        <x:v>40</x:v>
      </x:c>
      <x:c r="J492" s="12" t="n">
        <x:v>0.2</x:v>
      </x:c>
      <x:c r="K492" s="11" t="n">
        <x:f>H492*I492*(1-J492)</x:f>
        <x:v>288</x:v>
      </x:c>
      <x:c r="L492" s="11" t="n">
        <x:f>H492*(I492*0.62)</x:f>
        <x:v>223.20000000000002</x:v>
      </x:c>
      <x:c r="M492" s="11" t="n">
        <x:f>K492-L492</x:f>
        <x:v>64.79999999999998</x:v>
      </x:c>
      <x:c r="N492" s="8" t="str">
        <x:v>Partner</x:v>
      </x:c>
      <x:c r="O492" s="8" t="str">
        <x:v>Credit Card</x:v>
      </x:c>
      <x:c r="P492" s="8" t="str">
        <x:v>Closed Won</x:v>
      </x:c>
    </x:row>
    <x:row r="493">
      <x:c r="A493" s="8" t="str">
        <x:v>ORD-2025492</x:v>
      </x:c>
      <x:c r="B493" s="9" t="n">
        <x:v>45884</x:v>
      </x:c>
      <x:c r="C493" s="8" t="str">
        <x:v>South</x:v>
      </x:c>
      <x:c r="D493" s="8" t="str">
        <x:v>Ava Patel</x:v>
      </x:c>
      <x:c r="E493" s="8" t="str">
        <x:v>Nexus Inc</x:v>
      </x:c>
      <x:c r="F493" s="8" t="str">
        <x:v>Hardware</x:v>
      </x:c>
      <x:c r="G493" s="8" t="str">
        <x:v>Monitor 27</x:v>
      </x:c>
      <x:c r="H493" s="10" t="n">
        <x:v>15</x:v>
      </x:c>
      <x:c r="I493" s="11" t="n">
        <x:v>320</x:v>
      </x:c>
      <x:c r="J493" s="12" t="n">
        <x:v>0.15</x:v>
      </x:c>
      <x:c r="K493" s="11" t="n">
        <x:f>H493*I493*(1-J493)</x:f>
        <x:v>4080</x:v>
      </x:c>
      <x:c r="L493" s="11" t="n">
        <x:f>H493*(I493*0.62)</x:f>
        <x:v>2976</x:v>
      </x:c>
      <x:c r="M493" s="11" t="n">
        <x:f>K493-L493</x:f>
        <x:v>1104</x:v>
      </x:c>
      <x:c r="N493" s="8" t="str">
        <x:v>Direct</x:v>
      </x:c>
      <x:c r="O493" s="8" t="str">
        <x:v>Bank Transfer</x:v>
      </x:c>
      <x:c r="P493" s="8" t="str">
        <x:v>Pending</x:v>
      </x:c>
    </x:row>
    <x:row r="494">
      <x:c r="A494" s="8" t="str">
        <x:v>ORD-2025493</x:v>
      </x:c>
      <x:c r="B494" s="9" t="n">
        <x:v>45739</x:v>
      </x:c>
      <x:c r="C494" s="8" t="str">
        <x:v>North</x:v>
      </x:c>
      <x:c r="D494" s="8" t="str">
        <x:v>Mason Lee</x:v>
      </x:c>
      <x:c r="E494" s="8" t="str">
        <x:v>Southridge Co</x:v>
      </x:c>
      <x:c r="F494" s="8" t="str">
        <x:v>Services</x:v>
      </x:c>
      <x:c r="G494" s="8" t="str">
        <x:v>Support Plus</x:v>
      </x:c>
      <x:c r="H494" s="10" t="n">
        <x:v>4</x:v>
      </x:c>
      <x:c r="I494" s="11" t="n">
        <x:v>650</x:v>
      </x:c>
      <x:c r="J494" s="12" t="n">
        <x:v>0</x:v>
      </x:c>
      <x:c r="K494" s="11" t="n">
        <x:f>H494*I494*(1-J494)</x:f>
        <x:v>2600</x:v>
      </x:c>
      <x:c r="L494" s="11" t="n">
        <x:f>H494*(I494*0.62)</x:f>
        <x:v>1612</x:v>
      </x:c>
      <x:c r="M494" s="11" t="n">
        <x:f>K494-L494</x:f>
        <x:v>988</x:v>
      </x:c>
      <x:c r="N494" s="8" t="str">
        <x:v>Partner</x:v>
      </x:c>
      <x:c r="O494" s="8" t="str">
        <x:v>Invoice</x:v>
      </x:c>
      <x:c r="P494" s="8" t="str">
        <x:v>Closed Won</x:v>
      </x:c>
    </x:row>
    <x:row r="495">
      <x:c r="A495" s="8" t="str">
        <x:v>ORD-2025494</x:v>
      </x:c>
      <x:c r="B495" s="9" t="n">
        <x:v>45715</x:v>
      </x:c>
      <x:c r="C495" s="8" t="str">
        <x:v>South</x:v>
      </x:c>
      <x:c r="D495" s="8" t="str">
        <x:v>Lucas Brown</x:v>
      </x:c>
      <x:c r="E495" s="8" t="str">
        <x:v>BrightPath Inc</x:v>
      </x:c>
      <x:c r="F495" s="8" t="str">
        <x:v>Software</x:v>
      </x:c>
      <x:c r="G495" s="8" t="str">
        <x:v>Analytics Cloud</x:v>
      </x:c>
      <x:c r="H495" s="10" t="n">
        <x:v>1</x:v>
      </x:c>
      <x:c r="I495" s="11" t="n">
        <x:v>1800</x:v>
      </x:c>
      <x:c r="J495" s="12" t="n">
        <x:v>0</x:v>
      </x:c>
      <x:c r="K495" s="11" t="n">
        <x:f>H495*I495*(1-J495)</x:f>
        <x:v>1800</x:v>
      </x:c>
      <x:c r="L495" s="11" t="n">
        <x:f>H495*(I495*0.62)</x:f>
        <x:v>1116</x:v>
      </x:c>
      <x:c r="M495" s="11" t="n">
        <x:f>K495-L495</x:f>
        <x:v>684</x:v>
      </x:c>
      <x:c r="N495" s="8" t="str">
        <x:v>Partner</x:v>
      </x:c>
      <x:c r="O495" s="8" t="str">
        <x:v>Credit Card</x:v>
      </x:c>
      <x:c r="P495" s="8" t="str">
        <x:v>Closed Won</x:v>
      </x:c>
    </x:row>
    <x:row r="496">
      <x:c r="A496" s="8" t="str">
        <x:v>ORD-2025495</x:v>
      </x:c>
      <x:c r="B496" s="9" t="n">
        <x:v>45679</x:v>
      </x:c>
      <x:c r="C496" s="8" t="str">
        <x:v>Central</x:v>
      </x:c>
      <x:c r="D496" s="8" t="str">
        <x:v>Olivia Wilson</x:v>
      </x:c>
      <x:c r="E496" s="8" t="str">
        <x:v>Nova LLC</x:v>
      </x:c>
      <x:c r="F496" s="8" t="str">
        <x:v>Hardware</x:v>
      </x:c>
      <x:c r="G496" s="8" t="str">
        <x:v>Laptop X</x:v>
      </x:c>
      <x:c r="H496" s="10" t="n">
        <x:v>5</x:v>
      </x:c>
      <x:c r="I496" s="11" t="n">
        <x:v>1500</x:v>
      </x:c>
      <x:c r="J496" s="12" t="n">
        <x:v>0</x:v>
      </x:c>
      <x:c r="K496" s="11" t="n">
        <x:f>H496*I496*(1-J496)</x:f>
        <x:v>7500</x:v>
      </x:c>
      <x:c r="L496" s="11" t="n">
        <x:f>H496*(I496*0.62)</x:f>
        <x:v>4650</x:v>
      </x:c>
      <x:c r="M496" s="11" t="n">
        <x:f>K496-L496</x:f>
        <x:v>2850</x:v>
      </x:c>
      <x:c r="N496" s="8" t="str">
        <x:v>Direct</x:v>
      </x:c>
      <x:c r="O496" s="8" t="str">
        <x:v>Bank Transfer</x:v>
      </x:c>
      <x:c r="P496" s="8" t="str">
        <x:v>Closed Won</x:v>
      </x:c>
    </x:row>
    <x:row r="497">
      <x:c r="A497" s="8" t="str">
        <x:v>ORD-2025496</x:v>
      </x:c>
      <x:c r="B497" s="9" t="n">
        <x:v>45978</x:v>
      </x:c>
      <x:c r="C497" s="8" t="str">
        <x:v>North</x:v>
      </x:c>
      <x:c r="D497" s="8" t="str">
        <x:v>Ava Patel</x:v>
      </x:c>
      <x:c r="E497" s="8" t="str">
        <x:v>Harbor Inc</x:v>
      </x:c>
      <x:c r="F497" s="8" t="str">
        <x:v>Software</x:v>
      </x:c>
      <x:c r="G497" s="8" t="str">
        <x:v>HR Suite</x:v>
      </x:c>
      <x:c r="H497" s="10" t="n">
        <x:v>21</x:v>
      </x:c>
      <x:c r="I497" s="11" t="n">
        <x:v>950</x:v>
      </x:c>
      <x:c r="J497" s="12" t="n">
        <x:v>0</x:v>
      </x:c>
      <x:c r="K497" s="11" t="n">
        <x:f>H497*I497*(1-J497)</x:f>
        <x:v>19950</x:v>
      </x:c>
      <x:c r="L497" s="11" t="n">
        <x:f>H497*(I497*0.62)</x:f>
        <x:v>12369</x:v>
      </x:c>
      <x:c r="M497" s="11" t="n">
        <x:f>K497-L497</x:f>
        <x:v>7581</x:v>
      </x:c>
      <x:c r="N497" s="8" t="str">
        <x:v>Online</x:v>
      </x:c>
      <x:c r="O497" s="8" t="str">
        <x:v>Credit Card</x:v>
      </x:c>
      <x:c r="P497" s="8" t="str">
        <x:v>Closed Won</x:v>
      </x:c>
    </x:row>
    <x:row r="498">
      <x:c r="A498" s="8" t="str">
        <x:v>ORD-2025497</x:v>
      </x:c>
      <x:c r="B498" s="9" t="n">
        <x:v>45943</x:v>
      </x:c>
      <x:c r="C498" s="8" t="str">
        <x:v>East</x:v>
      </x:c>
      <x:c r="D498" s="8" t="str">
        <x:v>Olivia Wilson</x:v>
      </x:c>
      <x:c r="E498" s="8" t="str">
        <x:v>Nexus LLC</x:v>
      </x:c>
      <x:c r="F498" s="8" t="str">
        <x:v>Hardware</x:v>
      </x:c>
      <x:c r="G498" s="8" t="str">
        <x:v>Dock Station</x:v>
      </x:c>
      <x:c r="H498" s="10" t="n">
        <x:v>1</x:v>
      </x:c>
      <x:c r="I498" s="11" t="n">
        <x:v>180</x:v>
      </x:c>
      <x:c r="J498" s="12" t="n">
        <x:v>0.15</x:v>
      </x:c>
      <x:c r="K498" s="11" t="n">
        <x:f>H498*I498*(1-J498)</x:f>
        <x:v>153</x:v>
      </x:c>
      <x:c r="L498" s="11" t="n">
        <x:f>H498*(I498*0.62)</x:f>
        <x:v>111.6</x:v>
      </x:c>
      <x:c r="M498" s="11" t="n">
        <x:f>K498-L498</x:f>
        <x:v>41.400000000000006</x:v>
      </x:c>
      <x:c r="N498" s="8" t="str">
        <x:v>Partner</x:v>
      </x:c>
      <x:c r="O498" s="8" t="str">
        <x:v>Invoice</x:v>
      </x:c>
      <x:c r="P498" s="8" t="str">
        <x:v>Shipped</x:v>
      </x:c>
    </x:row>
    <x:row r="499">
      <x:c r="A499" s="8" t="str">
        <x:v>ORD-2025498</x:v>
      </x:c>
      <x:c r="B499" s="9" t="n">
        <x:v>45906</x:v>
      </x:c>
      <x:c r="C499" s="8" t="str">
        <x:v>West</x:v>
      </x:c>
      <x:c r="D499" s="8" t="str">
        <x:v>Mason Lee</x:v>
      </x:c>
      <x:c r="E499" s="8" t="str">
        <x:v>Vertex Inc</x:v>
      </x:c>
      <x:c r="F499" s="8" t="str">
        <x:v>Services</x:v>
      </x:c>
      <x:c r="G499" s="8" t="str">
        <x:v>Implementation</x:v>
      </x:c>
      <x:c r="H499" s="10" t="n">
        <x:v>18</x:v>
      </x:c>
      <x:c r="I499" s="11" t="n">
        <x:v>2500</x:v>
      </x:c>
      <x:c r="J499" s="12" t="n">
        <x:v>0.15</x:v>
      </x:c>
      <x:c r="K499" s="11" t="n">
        <x:f>H499*I499*(1-J499)</x:f>
        <x:v>38250</x:v>
      </x:c>
      <x:c r="L499" s="11" t="n">
        <x:f>H499*(I499*0.62)</x:f>
        <x:v>27900</x:v>
      </x:c>
      <x:c r="M499" s="11" t="n">
        <x:f>K499-L499</x:f>
        <x:v>10350</x:v>
      </x:c>
      <x:c r="N499" s="8" t="str">
        <x:v>Partner</x:v>
      </x:c>
      <x:c r="O499" s="8" t="str">
        <x:v>Bank Transfer</x:v>
      </x:c>
      <x:c r="P499" s="8" t="str">
        <x:v>Shipped</x:v>
      </x:c>
    </x:row>
    <x:row r="500">
      <x:c r="A500" s="8" t="str">
        <x:v>ORD-2025499</x:v>
      </x:c>
      <x:c r="B500" s="9" t="n">
        <x:v>45897</x:v>
      </x:c>
      <x:c r="C500" s="8" t="str">
        <x:v>East</x:v>
      </x:c>
      <x:c r="D500" s="8" t="str">
        <x:v>Emma Martin</x:v>
      </x:c>
      <x:c r="E500" s="8" t="str">
        <x:v>Maple Co</x:v>
      </x:c>
      <x:c r="F500" s="8" t="str">
        <x:v>Services</x:v>
      </x:c>
      <x:c r="G500" s="8" t="str">
        <x:v>Support Plus</x:v>
      </x:c>
      <x:c r="H500" s="10" t="n">
        <x:v>6</x:v>
      </x:c>
      <x:c r="I500" s="11" t="n">
        <x:v>650</x:v>
      </x:c>
      <x:c r="J500" s="12" t="n">
        <x:v>0</x:v>
      </x:c>
      <x:c r="K500" s="11" t="n">
        <x:f>H500*I500*(1-J500)</x:f>
        <x:v>3900</x:v>
      </x:c>
      <x:c r="L500" s="11" t="n">
        <x:f>H500*(I500*0.62)</x:f>
        <x:v>2418</x:v>
      </x:c>
      <x:c r="M500" s="11" t="n">
        <x:f>K500-L500</x:f>
        <x:v>1482</x:v>
      </x:c>
      <x:c r="N500" s="8" t="str">
        <x:v>Online</x:v>
      </x:c>
      <x:c r="O500" s="8" t="str">
        <x:v>Bank Transfer</x:v>
      </x:c>
      <x:c r="P500" s="8" t="str">
        <x:v>Closed Won</x:v>
      </x:c>
    </x:row>
    <x:row r="501">
      <x:c r="A501" s="8" t="str">
        <x:v>ORD-2025500</x:v>
      </x:c>
      <x:c r="B501" s="9" t="n">
        <x:v>45890</x:v>
      </x:c>
      <x:c r="C501" s="8" t="str">
        <x:v>North</x:v>
      </x:c>
      <x:c r="D501" s="8" t="str">
        <x:v>Mason Lee</x:v>
      </x:c>
      <x:c r="E501" s="8" t="str">
        <x:v>SilverLine LLC</x:v>
      </x:c>
      <x:c r="F501" s="8" t="str">
        <x:v>Services</x:v>
      </x:c>
      <x:c r="G501" s="8" t="str">
        <x:v>Support Plus</x:v>
      </x:c>
      <x:c r="H501" s="10" t="n">
        <x:v>24</x:v>
      </x:c>
      <x:c r="I501" s="11" t="n">
        <x:v>650</x:v>
      </x:c>
      <x:c r="J501" s="12" t="n">
        <x:v>0</x:v>
      </x:c>
      <x:c r="K501" s="11" t="n">
        <x:f>H501*I501*(1-J501)</x:f>
        <x:v>15600</x:v>
      </x:c>
      <x:c r="L501" s="11" t="n">
        <x:f>H501*(I501*0.62)</x:f>
        <x:v>9672</x:v>
      </x:c>
      <x:c r="M501" s="11" t="n">
        <x:f>K501-L501</x:f>
        <x:v>5928</x:v>
      </x:c>
      <x:c r="N501" s="8" t="str">
        <x:v>Direct</x:v>
      </x:c>
      <x:c r="O501" s="8" t="str">
        <x:v>Invoice</x:v>
      </x:c>
      <x:c r="P501" s="8" t="str">
        <x:v>Shipped</x:v>
      </x:c>
    </x:row>
    <x:row r="502">
      <x:c r="A502" s="8" t="str">
        <x:v>ORD-2025501</x:v>
      </x:c>
      <x:c r="B502" s="9" t="n">
        <x:v>45690</x:v>
      </x:c>
      <x:c r="C502" s="8" t="str">
        <x:v>Central</x:v>
      </x:c>
      <x:c r="D502" s="8" t="str">
        <x:v>Lucas Brown</x:v>
      </x:c>
      <x:c r="E502" s="8" t="str">
        <x:v>Nexus LLC</x:v>
      </x:c>
      <x:c r="F502" s="8" t="str">
        <x:v>Hardware</x:v>
      </x:c>
      <x:c r="G502" s="8" t="str">
        <x:v>Dock Station</x:v>
      </x:c>
      <x:c r="H502" s="10" t="n">
        <x:v>17</x:v>
      </x:c>
      <x:c r="I502" s="11" t="n">
        <x:v>180</x:v>
      </x:c>
      <x:c r="J502" s="12" t="n">
        <x:v>0.15</x:v>
      </x:c>
      <x:c r="K502" s="11" t="n">
        <x:f>H502*I502*(1-J502)</x:f>
        <x:v>2601</x:v>
      </x:c>
      <x:c r="L502" s="11" t="n">
        <x:f>H502*(I502*0.62)</x:f>
        <x:v>1897.1999999999998</x:v>
      </x:c>
      <x:c r="M502" s="11" t="n">
        <x:f>K502-L502</x:f>
        <x:v>703.8000000000002</x:v>
      </x:c>
      <x:c r="N502" s="8" t="str">
        <x:v>Partner</x:v>
      </x:c>
      <x:c r="O502" s="8" t="str">
        <x:v>Bank Transfer</x:v>
      </x:c>
      <x:c r="P502" s="8" t="str">
        <x:v>Shipped</x:v>
      </x:c>
    </x:row>
    <x:row r="503">
      <x:c r="A503" s="8" t="str">
        <x:v>ORD-2025502</x:v>
      </x:c>
      <x:c r="B503" s="9" t="n">
        <x:v>45986</x:v>
      </x:c>
      <x:c r="C503" s="8" t="str">
        <x:v>East</x:v>
      </x:c>
      <x:c r="D503" s="8" t="str">
        <x:v>Liam Chen</x:v>
      </x:c>
      <x:c r="E503" s="8" t="str">
        <x:v>Pioneer LLC</x:v>
      </x:c>
      <x:c r="F503" s="8" t="str">
        <x:v>Services</x:v>
      </x:c>
      <x:c r="G503" s="8" t="str">
        <x:v>Consulting Day</x:v>
      </x:c>
      <x:c r="H503" s="10" t="n">
        <x:v>17</x:v>
      </x:c>
      <x:c r="I503" s="11" t="n">
        <x:v>1400</x:v>
      </x:c>
      <x:c r="J503" s="12" t="n">
        <x:v>0.15</x:v>
      </x:c>
      <x:c r="K503" s="11" t="n">
        <x:f>H503*I503*(1-J503)</x:f>
        <x:v>20230</x:v>
      </x:c>
      <x:c r="L503" s="11" t="n">
        <x:f>H503*(I503*0.62)</x:f>
        <x:v>14756</x:v>
      </x:c>
      <x:c r="M503" s="11" t="n">
        <x:f>K503-L503</x:f>
        <x:v>5474</x:v>
      </x:c>
      <x:c r="N503" s="8" t="str">
        <x:v>Direct</x:v>
      </x:c>
      <x:c r="O503" s="8" t="str">
        <x:v>Credit Card</x:v>
      </x:c>
      <x:c r="P503" s="8" t="str">
        <x:v>Returned</x:v>
      </x:c>
    </x:row>
    <x:row r="504">
      <x:c r="A504" s="8" t="str">
        <x:v>ORD-2025503</x:v>
      </x:c>
      <x:c r="B504" s="9" t="n">
        <x:v>45674</x:v>
      </x:c>
      <x:c r="C504" s="8" t="str">
        <x:v>South</x:v>
      </x:c>
      <x:c r="D504" s="8" t="str">
        <x:v>Liam Chen</x:v>
      </x:c>
      <x:c r="E504" s="8" t="str">
        <x:v>NorthStar Co</x:v>
      </x:c>
      <x:c r="F504" s="8" t="str">
        <x:v>Hardware</x:v>
      </x:c>
      <x:c r="G504" s="8" t="str">
        <x:v>Tablet Air</x:v>
      </x:c>
      <x:c r="H504" s="10" t="n">
        <x:v>7</x:v>
      </x:c>
      <x:c r="I504" s="11" t="n">
        <x:v>820</x:v>
      </x:c>
      <x:c r="J504" s="12" t="n">
        <x:v>0</x:v>
      </x:c>
      <x:c r="K504" s="11" t="n">
        <x:f>H504*I504*(1-J504)</x:f>
        <x:v>5740</x:v>
      </x:c>
      <x:c r="L504" s="11" t="n">
        <x:f>H504*(I504*0.62)</x:f>
        <x:v>3558.7999999999997</x:v>
      </x:c>
      <x:c r="M504" s="11" t="n">
        <x:f>K504-L504</x:f>
        <x:v>2181.2000000000003</x:v>
      </x:c>
      <x:c r="N504" s="8" t="str">
        <x:v>Direct</x:v>
      </x:c>
      <x:c r="O504" s="8" t="str">
        <x:v>PayPal</x:v>
      </x:c>
      <x:c r="P504" s="8" t="str">
        <x:v>Shipped</x:v>
      </x:c>
    </x:row>
    <x:row r="505">
      <x:c r="A505" s="8" t="str">
        <x:v>ORD-2025504</x:v>
      </x:c>
      <x:c r="B505" s="9" t="n">
        <x:v>45845</x:v>
      </x:c>
      <x:c r="C505" s="8" t="str">
        <x:v>South</x:v>
      </x:c>
      <x:c r="D505" s="8" t="str">
        <x:v>Emma Martin</x:v>
      </x:c>
      <x:c r="E505" s="8" t="str">
        <x:v>BlueSky Inc</x:v>
      </x:c>
      <x:c r="F505" s="8" t="str">
        <x:v>Services</x:v>
      </x:c>
      <x:c r="G505" s="8" t="str">
        <x:v>Implementation</x:v>
      </x:c>
      <x:c r="H505" s="10" t="n">
        <x:v>1</x:v>
      </x:c>
      <x:c r="I505" s="11" t="n">
        <x:v>2500</x:v>
      </x:c>
      <x:c r="J505" s="12" t="n">
        <x:v>0</x:v>
      </x:c>
      <x:c r="K505" s="11" t="n">
        <x:f>H505*I505*(1-J505)</x:f>
        <x:v>2500</x:v>
      </x:c>
      <x:c r="L505" s="11" t="n">
        <x:f>H505*(I505*0.62)</x:f>
        <x:v>1550</x:v>
      </x:c>
      <x:c r="M505" s="11" t="n">
        <x:f>K505-L505</x:f>
        <x:v>950</x:v>
      </x:c>
      <x:c r="N505" s="8" t="str">
        <x:v>Online</x:v>
      </x:c>
      <x:c r="O505" s="8" t="str">
        <x:v>PayPal</x:v>
      </x:c>
      <x:c r="P505" s="8" t="str">
        <x:v>Cancelled</x:v>
      </x:c>
    </x:row>
    <x:row r="506">
      <x:c r="A506" s="8" t="str">
        <x:v>ORD-2025505</x:v>
      </x:c>
      <x:c r="B506" s="9" t="n">
        <x:v>45985</x:v>
      </x:c>
      <x:c r="C506" s="8" t="str">
        <x:v>North</x:v>
      </x:c>
      <x:c r="D506" s="8" t="str">
        <x:v>Sophia Kim</x:v>
      </x:c>
      <x:c r="E506" s="8" t="str">
        <x:v>Maple Group</x:v>
      </x:c>
      <x:c r="F506" s="8" t="str">
        <x:v>Software</x:v>
      </x:c>
      <x:c r="G506" s="8" t="str">
        <x:v>ProjectFlow</x:v>
      </x:c>
      <x:c r="H506" s="10" t="n">
        <x:v>24</x:v>
      </x:c>
      <x:c r="I506" s="11" t="n">
        <x:v>700</x:v>
      </x:c>
      <x:c r="J506" s="12" t="n">
        <x:v>0.05</x:v>
      </x:c>
      <x:c r="K506" s="11" t="n">
        <x:f>H506*I506*(1-J506)</x:f>
        <x:v>15960</x:v>
      </x:c>
      <x:c r="L506" s="11" t="n">
        <x:f>H506*(I506*0.62)</x:f>
        <x:v>10416</x:v>
      </x:c>
      <x:c r="M506" s="11" t="n">
        <x:f>K506-L506</x:f>
        <x:v>5544</x:v>
      </x:c>
      <x:c r="N506" s="8" t="str">
        <x:v>Partner</x:v>
      </x:c>
      <x:c r="O506" s="8" t="str">
        <x:v>Credit Card</x:v>
      </x:c>
      <x:c r="P506" s="8" t="str">
        <x:v>Returned</x:v>
      </x:c>
    </x:row>
    <x:row r="507">
      <x:c r="A507" s="8" t="str">
        <x:v>ORD-2025506</x:v>
      </x:c>
      <x:c r="B507" s="9" t="n">
        <x:v>45694</x:v>
      </x:c>
      <x:c r="C507" s="8" t="str">
        <x:v>East</x:v>
      </x:c>
      <x:c r="D507" s="8" t="str">
        <x:v>Liam Chen</x:v>
      </x:c>
      <x:c r="E507" s="8" t="str">
        <x:v>Nexus Group</x:v>
      </x:c>
      <x:c r="F507" s="8" t="str">
        <x:v>Services</x:v>
      </x:c>
      <x:c r="G507" s="8" t="str">
        <x:v>Implementation</x:v>
      </x:c>
      <x:c r="H507" s="10" t="n">
        <x:v>17</x:v>
      </x:c>
      <x:c r="I507" s="11" t="n">
        <x:v>2500</x:v>
      </x:c>
      <x:c r="J507" s="12" t="n">
        <x:v>0</x:v>
      </x:c>
      <x:c r="K507" s="11" t="n">
        <x:f>H507*I507*(1-J507)</x:f>
        <x:v>42500</x:v>
      </x:c>
      <x:c r="L507" s="11" t="n">
        <x:f>H507*(I507*0.62)</x:f>
        <x:v>26350</x:v>
      </x:c>
      <x:c r="M507" s="11" t="n">
        <x:f>K507-L507</x:f>
        <x:v>16150</x:v>
      </x:c>
      <x:c r="N507" s="8" t="str">
        <x:v>Direct</x:v>
      </x:c>
      <x:c r="O507" s="8" t="str">
        <x:v>Bank Transfer</x:v>
      </x:c>
      <x:c r="P507" s="8" t="str">
        <x:v>Pending</x:v>
      </x:c>
    </x:row>
    <x:row r="508">
      <x:c r="A508" s="8" t="str">
        <x:v>ORD-2025507</x:v>
      </x:c>
      <x:c r="B508" s="9" t="n">
        <x:v>45927</x:v>
      </x:c>
      <x:c r="C508" s="8" t="str">
        <x:v>South</x:v>
      </x:c>
      <x:c r="D508" s="8" t="str">
        <x:v>Emma Martin</x:v>
      </x:c>
      <x:c r="E508" s="8" t="str">
        <x:v>GreenLeaf Co</x:v>
      </x:c>
      <x:c r="F508" s="8" t="str">
        <x:v>Hardware</x:v>
      </x:c>
      <x:c r="G508" s="8" t="str">
        <x:v>Tablet Air</x:v>
      </x:c>
      <x:c r="H508" s="10" t="n">
        <x:v>18</x:v>
      </x:c>
      <x:c r="I508" s="11" t="n">
        <x:v>820</x:v>
      </x:c>
      <x:c r="J508" s="12" t="n">
        <x:v>0.15</x:v>
      </x:c>
      <x:c r="K508" s="11" t="n">
        <x:f>H508*I508*(1-J508)</x:f>
        <x:v>12546</x:v>
      </x:c>
      <x:c r="L508" s="11" t="n">
        <x:f>H508*(I508*0.62)</x:f>
        <x:v>9151.199999999999</x:v>
      </x:c>
      <x:c r="M508" s="11" t="n">
        <x:f>K508-L508</x:f>
        <x:v>3394.800000000001</x:v>
      </x:c>
      <x:c r="N508" s="8" t="str">
        <x:v>Online</x:v>
      </x:c>
      <x:c r="O508" s="8" t="str">
        <x:v>PayPal</x:v>
      </x:c>
      <x:c r="P508" s="8" t="str">
        <x:v>Shipped</x:v>
      </x:c>
    </x:row>
    <x:row r="509">
      <x:c r="A509" s="8" t="str">
        <x:v>ORD-2025508</x:v>
      </x:c>
      <x:c r="B509" s="9" t="n">
        <x:v>46017</x:v>
      </x:c>
      <x:c r="C509" s="8" t="str">
        <x:v>West</x:v>
      </x:c>
      <x:c r="D509" s="8" t="str">
        <x:v>Liam Chen</x:v>
      </x:c>
      <x:c r="E509" s="8" t="str">
        <x:v>GreenLeaf Inc</x:v>
      </x:c>
      <x:c r="F509" s="8" t="str">
        <x:v>Services</x:v>
      </x:c>
      <x:c r="G509" s="8" t="str">
        <x:v>Consulting Day</x:v>
      </x:c>
      <x:c r="H509" s="10" t="n">
        <x:v>6</x:v>
      </x:c>
      <x:c r="I509" s="11" t="n">
        <x:v>1400</x:v>
      </x:c>
      <x:c r="J509" s="12" t="n">
        <x:v>0.1</x:v>
      </x:c>
      <x:c r="K509" s="11" t="n">
        <x:f>H509*I509*(1-J509)</x:f>
        <x:v>7560</x:v>
      </x:c>
      <x:c r="L509" s="11" t="n">
        <x:f>H509*(I509*0.62)</x:f>
        <x:v>5208</x:v>
      </x:c>
      <x:c r="M509" s="11" t="n">
        <x:f>K509-L509</x:f>
        <x:v>2352</x:v>
      </x:c>
      <x:c r="N509" s="8" t="str">
        <x:v>Partner</x:v>
      </x:c>
      <x:c r="O509" s="8" t="str">
        <x:v>Invoice</x:v>
      </x:c>
      <x:c r="P509" s="8" t="str">
        <x:v>Shipped</x:v>
      </x:c>
    </x:row>
    <x:row r="510">
      <x:c r="A510" s="8" t="str">
        <x:v>ORD-2025509</x:v>
      </x:c>
      <x:c r="B510" s="9" t="n">
        <x:v>45819</x:v>
      </x:c>
      <x:c r="C510" s="8" t="str">
        <x:v>Central</x:v>
      </x:c>
      <x:c r="D510" s="8" t="str">
        <x:v>Sophia Kim</x:v>
      </x:c>
      <x:c r="E510" s="8" t="str">
        <x:v>Harbor Group</x:v>
      </x:c>
      <x:c r="F510" s="8" t="str">
        <x:v>Accessories</x:v>
      </x:c>
      <x:c r="G510" s="8" t="str">
        <x:v>Webcam HD</x:v>
      </x:c>
      <x:c r="H510" s="10" t="n">
        <x:v>14</x:v>
      </x:c>
      <x:c r="I510" s="11" t="n">
        <x:v>110</x:v>
      </x:c>
      <x:c r="J510" s="12" t="n">
        <x:v>0.2</x:v>
      </x:c>
      <x:c r="K510" s="11" t="n">
        <x:f>H510*I510*(1-J510)</x:f>
        <x:v>1232</x:v>
      </x:c>
      <x:c r="L510" s="11" t="n">
        <x:f>H510*(I510*0.62)</x:f>
        <x:v>954.8000000000001</x:v>
      </x:c>
      <x:c r="M510" s="11" t="n">
        <x:f>K510-L510</x:f>
        <x:v>277.19999999999993</x:v>
      </x:c>
      <x:c r="N510" s="8" t="str">
        <x:v>Online</x:v>
      </x:c>
      <x:c r="O510" s="8" t="str">
        <x:v>PayPal</x:v>
      </x:c>
      <x:c r="P510" s="8" t="str">
        <x:v>Returned</x:v>
      </x:c>
    </x:row>
    <x:row r="511">
      <x:c r="A511" s="8" t="str">
        <x:v>ORD-2025510</x:v>
      </x:c>
      <x:c r="B511" s="9" t="n">
        <x:v>45946</x:v>
      </x:c>
      <x:c r="C511" s="8" t="str">
        <x:v>Central</x:v>
      </x:c>
      <x:c r="D511" s="8" t="str">
        <x:v>Mia Johnson</x:v>
      </x:c>
      <x:c r="E511" s="8" t="str">
        <x:v>SilverLine LLC</x:v>
      </x:c>
      <x:c r="F511" s="8" t="str">
        <x:v>Services</x:v>
      </x:c>
      <x:c r="G511" s="8" t="str">
        <x:v>Training</x:v>
      </x:c>
      <x:c r="H511" s="10" t="n">
        <x:v>25</x:v>
      </x:c>
      <x:c r="I511" s="11" t="n">
        <x:v>900</x:v>
      </x:c>
      <x:c r="J511" s="12" t="n">
        <x:v>0.1</x:v>
      </x:c>
      <x:c r="K511" s="11" t="n">
        <x:f>H511*I511*(1-J511)</x:f>
        <x:v>20250</x:v>
      </x:c>
      <x:c r="L511" s="11" t="n">
        <x:f>H511*(I511*0.62)</x:f>
        <x:v>13950</x:v>
      </x:c>
      <x:c r="M511" s="11" t="n">
        <x:f>K511-L511</x:f>
        <x:v>6300</x:v>
      </x:c>
      <x:c r="N511" s="8" t="str">
        <x:v>Online</x:v>
      </x:c>
      <x:c r="O511" s="8" t="str">
        <x:v>Invoice</x:v>
      </x:c>
      <x:c r="P511" s="8" t="str">
        <x:v>Closed Won</x:v>
      </x:c>
    </x:row>
    <x:row r="512">
      <x:c r="A512" s="8" t="str">
        <x:v>ORD-2025511</x:v>
      </x:c>
      <x:c r="B512" s="9" t="n">
        <x:v>45861</x:v>
      </x:c>
      <x:c r="C512" s="8" t="str">
        <x:v>North</x:v>
      </x:c>
      <x:c r="D512" s="8" t="str">
        <x:v>Ava Patel</x:v>
      </x:c>
      <x:c r="E512" s="8" t="str">
        <x:v>Vertex LLC</x:v>
      </x:c>
      <x:c r="F512" s="8" t="str">
        <x:v>Accessories</x:v>
      </x:c>
      <x:c r="G512" s="8" t="str">
        <x:v>Headset</x:v>
      </x:c>
      <x:c r="H512" s="10" t="n">
        <x:v>20</x:v>
      </x:c>
      <x:c r="I512" s="11" t="n">
        <x:v>85</x:v>
      </x:c>
      <x:c r="J512" s="12" t="n">
        <x:v>0</x:v>
      </x:c>
      <x:c r="K512" s="11" t="n">
        <x:f>H512*I512*(1-J512)</x:f>
        <x:v>1700</x:v>
      </x:c>
      <x:c r="L512" s="11" t="n">
        <x:f>H512*(I512*0.62)</x:f>
        <x:v>1054</x:v>
      </x:c>
      <x:c r="M512" s="11" t="n">
        <x:f>K512-L512</x:f>
        <x:v>646</x:v>
      </x:c>
      <x:c r="N512" s="8" t="str">
        <x:v>Online</x:v>
      </x:c>
      <x:c r="O512" s="8" t="str">
        <x:v>Bank Transfer</x:v>
      </x:c>
      <x:c r="P512" s="8" t="str">
        <x:v>Cancelled</x:v>
      </x:c>
    </x:row>
    <x:row r="513">
      <x:c r="A513" s="8" t="str">
        <x:v>ORD-2025512</x:v>
      </x:c>
      <x:c r="B513" s="9" t="n">
        <x:v>45811</x:v>
      </x:c>
      <x:c r="C513" s="8" t="str">
        <x:v>South</x:v>
      </x:c>
      <x:c r="D513" s="8" t="str">
        <x:v>Mia Johnson</x:v>
      </x:c>
      <x:c r="E513" s="8" t="str">
        <x:v>BrightPath LLC</x:v>
      </x:c>
      <x:c r="F513" s="8" t="str">
        <x:v>Services</x:v>
      </x:c>
      <x:c r="G513" s="8" t="str">
        <x:v>Implementation</x:v>
      </x:c>
      <x:c r="H513" s="10" t="n">
        <x:v>1</x:v>
      </x:c>
      <x:c r="I513" s="11" t="n">
        <x:v>2500</x:v>
      </x:c>
      <x:c r="J513" s="12" t="n">
        <x:v>0.2</x:v>
      </x:c>
      <x:c r="K513" s="11" t="n">
        <x:f>H513*I513*(1-J513)</x:f>
        <x:v>2000</x:v>
      </x:c>
      <x:c r="L513" s="11" t="n">
        <x:f>H513*(I513*0.62)</x:f>
        <x:v>1550</x:v>
      </x:c>
      <x:c r="M513" s="11" t="n">
        <x:f>K513-L513</x:f>
        <x:v>450</x:v>
      </x:c>
      <x:c r="N513" s="8" t="str">
        <x:v>Online</x:v>
      </x:c>
      <x:c r="O513" s="8" t="str">
        <x:v>Invoice</x:v>
      </x:c>
      <x:c r="P513" s="8" t="str">
        <x:v>Cancelled</x:v>
      </x:c>
    </x:row>
    <x:row r="514">
      <x:c r="A514" s="8" t="str">
        <x:v>ORD-2025513</x:v>
      </x:c>
      <x:c r="B514" s="9" t="n">
        <x:v>45677</x:v>
      </x:c>
      <x:c r="C514" s="8" t="str">
        <x:v>West</x:v>
      </x:c>
      <x:c r="D514" s="8" t="str">
        <x:v>Sophia Kim</x:v>
      </x:c>
      <x:c r="E514" s="8" t="str">
        <x:v>Urban Group</x:v>
      </x:c>
      <x:c r="F514" s="8" t="str">
        <x:v>Hardware</x:v>
      </x:c>
      <x:c r="G514" s="8" t="str">
        <x:v>Laptop X</x:v>
      </x:c>
      <x:c r="H514" s="10" t="n">
        <x:v>5</x:v>
      </x:c>
      <x:c r="I514" s="11" t="n">
        <x:v>1500</x:v>
      </x:c>
      <x:c r="J514" s="12" t="n">
        <x:v>0</x:v>
      </x:c>
      <x:c r="K514" s="11" t="n">
        <x:f>H514*I514*(1-J514)</x:f>
        <x:v>7500</x:v>
      </x:c>
      <x:c r="L514" s="11" t="n">
        <x:f>H514*(I514*0.62)</x:f>
        <x:v>4650</x:v>
      </x:c>
      <x:c r="M514" s="11" t="n">
        <x:f>K514-L514</x:f>
        <x:v>2850</x:v>
      </x:c>
      <x:c r="N514" s="8" t="str">
        <x:v>Partner</x:v>
      </x:c>
      <x:c r="O514" s="8" t="str">
        <x:v>Bank Transfer</x:v>
      </x:c>
      <x:c r="P514" s="8" t="str">
        <x:v>Closed Won</x:v>
      </x:c>
    </x:row>
    <x:row r="515">
      <x:c r="A515" s="8" t="str">
        <x:v>ORD-2025514</x:v>
      </x:c>
      <x:c r="B515" s="9" t="n">
        <x:v>45950</x:v>
      </x:c>
      <x:c r="C515" s="8" t="str">
        <x:v>West</x:v>
      </x:c>
      <x:c r="D515" s="8" t="str">
        <x:v>Emma Martin</x:v>
      </x:c>
      <x:c r="E515" s="8" t="str">
        <x:v>Nexus Group</x:v>
      </x:c>
      <x:c r="F515" s="8" t="str">
        <x:v>Services</x:v>
      </x:c>
      <x:c r="G515" s="8" t="str">
        <x:v>Implementation</x:v>
      </x:c>
      <x:c r="H515" s="10" t="n">
        <x:v>24</x:v>
      </x:c>
      <x:c r="I515" s="11" t="n">
        <x:v>2500</x:v>
      </x:c>
      <x:c r="J515" s="12" t="n">
        <x:v>0</x:v>
      </x:c>
      <x:c r="K515" s="11" t="n">
        <x:f>H515*I515*(1-J515)</x:f>
        <x:v>60000</x:v>
      </x:c>
      <x:c r="L515" s="11" t="n">
        <x:f>H515*(I515*0.62)</x:f>
        <x:v>37200</x:v>
      </x:c>
      <x:c r="M515" s="11" t="n">
        <x:f>K515-L515</x:f>
        <x:v>22800</x:v>
      </x:c>
      <x:c r="N515" s="8" t="str">
        <x:v>Online</x:v>
      </x:c>
      <x:c r="O515" s="8" t="str">
        <x:v>Invoice</x:v>
      </x:c>
      <x:c r="P515" s="8" t="str">
        <x:v>Shipped</x:v>
      </x:c>
    </x:row>
    <x:row r="516">
      <x:c r="A516" s="8" t="str">
        <x:v>ORD-2025515</x:v>
      </x:c>
      <x:c r="B516" s="9" t="n">
        <x:v>46011</x:v>
      </x:c>
      <x:c r="C516" s="8" t="str">
        <x:v>Central</x:v>
      </x:c>
      <x:c r="D516" s="8" t="str">
        <x:v>Liam Chen</x:v>
      </x:c>
      <x:c r="E516" s="8" t="str">
        <x:v>Nova LLC</x:v>
      </x:c>
      <x:c r="F516" s="8" t="str">
        <x:v>Hardware</x:v>
      </x:c>
      <x:c r="G516" s="8" t="str">
        <x:v>Monitor 27</x:v>
      </x:c>
      <x:c r="H516" s="10" t="n">
        <x:v>21</x:v>
      </x:c>
      <x:c r="I516" s="11" t="n">
        <x:v>320</x:v>
      </x:c>
      <x:c r="J516" s="12" t="n">
        <x:v>0</x:v>
      </x:c>
      <x:c r="K516" s="11" t="n">
        <x:f>H516*I516*(1-J516)</x:f>
        <x:v>6720</x:v>
      </x:c>
      <x:c r="L516" s="11" t="n">
        <x:f>H516*(I516*0.62)</x:f>
        <x:v>4166.400000000001</x:v>
      </x:c>
      <x:c r="M516" s="11" t="n">
        <x:f>K516-L516</x:f>
        <x:v>2553.5999999999995</x:v>
      </x:c>
      <x:c r="N516" s="8" t="str">
        <x:v>Direct</x:v>
      </x:c>
      <x:c r="O516" s="8" t="str">
        <x:v>PayPal</x:v>
      </x:c>
      <x:c r="P516" s="8" t="str">
        <x:v>Closed Won</x:v>
      </x:c>
    </x:row>
    <x:row r="517">
      <x:c r="A517" s="8" t="str">
        <x:v>ORD-2025516</x:v>
      </x:c>
      <x:c r="B517" s="9" t="n">
        <x:v>45836</x:v>
      </x:c>
      <x:c r="C517" s="8" t="str">
        <x:v>West</x:v>
      </x:c>
      <x:c r="D517" s="8" t="str">
        <x:v>Lucas Brown</x:v>
      </x:c>
      <x:c r="E517" s="8" t="str">
        <x:v>Pioneer Group</x:v>
      </x:c>
      <x:c r="F517" s="8" t="str">
        <x:v>Software</x:v>
      </x:c>
      <x:c r="G517" s="8" t="str">
        <x:v>HR Suite</x:v>
      </x:c>
      <x:c r="H517" s="10" t="n">
        <x:v>25</x:v>
      </x:c>
      <x:c r="I517" s="11" t="n">
        <x:v>950</x:v>
      </x:c>
      <x:c r="J517" s="12" t="n">
        <x:v>0</x:v>
      </x:c>
      <x:c r="K517" s="11" t="n">
        <x:f>H517*I517*(1-J517)</x:f>
        <x:v>23750</x:v>
      </x:c>
      <x:c r="L517" s="11" t="n">
        <x:f>H517*(I517*0.62)</x:f>
        <x:v>14725</x:v>
      </x:c>
      <x:c r="M517" s="11" t="n">
        <x:f>K517-L517</x:f>
        <x:v>9025</x:v>
      </x:c>
      <x:c r="N517" s="8" t="str">
        <x:v>Online</x:v>
      </x:c>
      <x:c r="O517" s="8" t="str">
        <x:v>Credit Card</x:v>
      </x:c>
      <x:c r="P517" s="8" t="str">
        <x:v>Shipped</x:v>
      </x:c>
    </x:row>
    <x:row r="518">
      <x:c r="A518" s="8" t="str">
        <x:v>ORD-2025517</x:v>
      </x:c>
      <x:c r="B518" s="9" t="n">
        <x:v>45814</x:v>
      </x:c>
      <x:c r="C518" s="8" t="str">
        <x:v>Central</x:v>
      </x:c>
      <x:c r="D518" s="8" t="str">
        <x:v>Ava Patel</x:v>
      </x:c>
      <x:c r="E518" s="8" t="str">
        <x:v>BrightPath LLC</x:v>
      </x:c>
      <x:c r="F518" s="8" t="str">
        <x:v>Accessories</x:v>
      </x:c>
      <x:c r="G518" s="8" t="str">
        <x:v>Wireless Mouse</x:v>
      </x:c>
      <x:c r="H518" s="10" t="n">
        <x:v>18</x:v>
      </x:c>
      <x:c r="I518" s="11" t="n">
        <x:v>40</x:v>
      </x:c>
      <x:c r="J518" s="12" t="n">
        <x:v>0.1</x:v>
      </x:c>
      <x:c r="K518" s="11" t="n">
        <x:f>H518*I518*(1-J518)</x:f>
        <x:v>648</x:v>
      </x:c>
      <x:c r="L518" s="11" t="n">
        <x:f>H518*(I518*0.62)</x:f>
        <x:v>446.40000000000003</x:v>
      </x:c>
      <x:c r="M518" s="11" t="n">
        <x:f>K518-L518</x:f>
        <x:v>201.59999999999997</x:v>
      </x:c>
      <x:c r="N518" s="8" t="str">
        <x:v>Direct</x:v>
      </x:c>
      <x:c r="O518" s="8" t="str">
        <x:v>Invoice</x:v>
      </x:c>
      <x:c r="P518" s="8" t="str">
        <x:v>Pending</x:v>
      </x:c>
    </x:row>
    <x:row r="519">
      <x:c r="A519" s="8" t="str">
        <x:v>ORD-2025518</x:v>
      </x:c>
      <x:c r="B519" s="9" t="n">
        <x:v>45683</x:v>
      </x:c>
      <x:c r="C519" s="8" t="str">
        <x:v>West</x:v>
      </x:c>
      <x:c r="D519" s="8" t="str">
        <x:v>Olivia Wilson</x:v>
      </x:c>
      <x:c r="E519" s="8" t="str">
        <x:v>Nova LLC</x:v>
      </x:c>
      <x:c r="F519" s="8" t="str">
        <x:v>Hardware</x:v>
      </x:c>
      <x:c r="G519" s="8" t="str">
        <x:v>Tablet Air</x:v>
      </x:c>
      <x:c r="H519" s="10" t="n">
        <x:v>19</x:v>
      </x:c>
      <x:c r="I519" s="11" t="n">
        <x:v>820</x:v>
      </x:c>
      <x:c r="J519" s="12" t="n">
        <x:v>0.1</x:v>
      </x:c>
      <x:c r="K519" s="11" t="n">
        <x:f>H519*I519*(1-J519)</x:f>
        <x:v>14022</x:v>
      </x:c>
      <x:c r="L519" s="11" t="n">
        <x:f>H519*(I519*0.62)</x:f>
        <x:v>9659.6</x:v>
      </x:c>
      <x:c r="M519" s="11" t="n">
        <x:f>K519-L519</x:f>
        <x:v>4362.4</x:v>
      </x:c>
      <x:c r="N519" s="8" t="str">
        <x:v>Direct</x:v>
      </x:c>
      <x:c r="O519" s="8" t="str">
        <x:v>Bank Transfer</x:v>
      </x:c>
      <x:c r="P519" s="8" t="str">
        <x:v>Closed Won</x:v>
      </x:c>
    </x:row>
    <x:row r="520">
      <x:c r="A520" s="8" t="str">
        <x:v>ORD-2025519</x:v>
      </x:c>
      <x:c r="B520" s="9" t="n">
        <x:v>45725</x:v>
      </x:c>
      <x:c r="C520" s="8" t="str">
        <x:v>East</x:v>
      </x:c>
      <x:c r="D520" s="8" t="str">
        <x:v>Liam Chen</x:v>
      </x:c>
      <x:c r="E520" s="8" t="str">
        <x:v>NorthStar LLC</x:v>
      </x:c>
      <x:c r="F520" s="8" t="str">
        <x:v>Accessories</x:v>
      </x:c>
      <x:c r="G520" s="8" t="str">
        <x:v>Keyboard Pro</x:v>
      </x:c>
      <x:c r="H520" s="10" t="n">
        <x:v>19</x:v>
      </x:c>
      <x:c r="I520" s="11" t="n">
        <x:v>95</x:v>
      </x:c>
      <x:c r="J520" s="12" t="n">
        <x:v>0.15</x:v>
      </x:c>
      <x:c r="K520" s="11" t="n">
        <x:f>H520*I520*(1-J520)</x:f>
        <x:v>1534.25</x:v>
      </x:c>
      <x:c r="L520" s="11" t="n">
        <x:f>H520*(I520*0.62)</x:f>
        <x:v>1119.1</x:v>
      </x:c>
      <x:c r="M520" s="11" t="n">
        <x:f>K520-L520</x:f>
        <x:v>415.1500000000001</x:v>
      </x:c>
      <x:c r="N520" s="8" t="str">
        <x:v>Direct</x:v>
      </x:c>
      <x:c r="O520" s="8" t="str">
        <x:v>PayPal</x:v>
      </x:c>
      <x:c r="P520" s="8" t="str">
        <x:v>Closed Won</x:v>
      </x:c>
    </x:row>
    <x:row r="521">
      <x:c r="A521" s="8" t="str">
        <x:v>ORD-2025520</x:v>
      </x:c>
      <x:c r="B521" s="9" t="n">
        <x:v>46015</x:v>
      </x:c>
      <x:c r="C521" s="8" t="str">
        <x:v>South</x:v>
      </x:c>
      <x:c r="D521" s="8" t="str">
        <x:v>Noah Davis</x:v>
      </x:c>
      <x:c r="E521" s="8" t="str">
        <x:v>NorthStar Inc</x:v>
      </x:c>
      <x:c r="F521" s="8" t="str">
        <x:v>Accessories</x:v>
      </x:c>
      <x:c r="G521" s="8" t="str">
        <x:v>Headset</x:v>
      </x:c>
      <x:c r="H521" s="10" t="n">
        <x:v>18</x:v>
      </x:c>
      <x:c r="I521" s="11" t="n">
        <x:v>85</x:v>
      </x:c>
      <x:c r="J521" s="12" t="n">
        <x:v>0</x:v>
      </x:c>
      <x:c r="K521" s="11" t="n">
        <x:f>H521*I521*(1-J521)</x:f>
        <x:v>1530</x:v>
      </x:c>
      <x:c r="L521" s="11" t="n">
        <x:f>H521*(I521*0.62)</x:f>
        <x:v>948.6</x:v>
      </x:c>
      <x:c r="M521" s="11" t="n">
        <x:f>K521-L521</x:f>
        <x:v>581.4</x:v>
      </x:c>
      <x:c r="N521" s="8" t="str">
        <x:v>Partner</x:v>
      </x:c>
      <x:c r="O521" s="8" t="str">
        <x:v>PayPal</x:v>
      </x:c>
      <x:c r="P521" s="8" t="str">
        <x:v>Shipped</x:v>
      </x:c>
    </x:row>
    <x:row r="522">
      <x:c r="A522" s="8" t="str">
        <x:v>ORD-2025521</x:v>
      </x:c>
      <x:c r="B522" s="9" t="n">
        <x:v>45782</x:v>
      </x:c>
      <x:c r="C522" s="8" t="str">
        <x:v>North</x:v>
      </x:c>
      <x:c r="D522" s="8" t="str">
        <x:v>Ethan Garcia</x:v>
      </x:c>
      <x:c r="E522" s="8" t="str">
        <x:v>RedStone Group</x:v>
      </x:c>
      <x:c r="F522" s="8" t="str">
        <x:v>Hardware</x:v>
      </x:c>
      <x:c r="G522" s="8" t="str">
        <x:v>Tablet Air</x:v>
      </x:c>
      <x:c r="H522" s="10" t="n">
        <x:v>11</x:v>
      </x:c>
      <x:c r="I522" s="11" t="n">
        <x:v>820</x:v>
      </x:c>
      <x:c r="J522" s="12" t="n">
        <x:v>0.15</x:v>
      </x:c>
      <x:c r="K522" s="11" t="n">
        <x:f>H522*I522*(1-J522)</x:f>
        <x:v>7667</x:v>
      </x:c>
      <x:c r="L522" s="11" t="n">
        <x:f>H522*(I522*0.62)</x:f>
        <x:v>5592.4</x:v>
      </x:c>
      <x:c r="M522" s="11" t="n">
        <x:f>K522-L522</x:f>
        <x:v>2074.6000000000004</x:v>
      </x:c>
      <x:c r="N522" s="8" t="str">
        <x:v>Online</x:v>
      </x:c>
      <x:c r="O522" s="8" t="str">
        <x:v>Credit Card</x:v>
      </x:c>
      <x:c r="P522" s="8" t="str">
        <x:v>Closed Won</x:v>
      </x:c>
    </x:row>
    <x:row r="523">
      <x:c r="A523" s="8" t="str">
        <x:v>ORD-2025522</x:v>
      </x:c>
      <x:c r="B523" s="9" t="n">
        <x:v>45845</x:v>
      </x:c>
      <x:c r="C523" s="8" t="str">
        <x:v>East</x:v>
      </x:c>
      <x:c r="D523" s="8" t="str">
        <x:v>Mia Johnson</x:v>
      </x:c>
      <x:c r="E523" s="8" t="str">
        <x:v>BrightPath Inc</x:v>
      </x:c>
      <x:c r="F523" s="8" t="str">
        <x:v>Accessories</x:v>
      </x:c>
      <x:c r="G523" s="8" t="str">
        <x:v>Headset</x:v>
      </x:c>
      <x:c r="H523" s="10" t="n">
        <x:v>12</x:v>
      </x:c>
      <x:c r="I523" s="11" t="n">
        <x:v>85</x:v>
      </x:c>
      <x:c r="J523" s="12" t="n">
        <x:v>0.1</x:v>
      </x:c>
      <x:c r="K523" s="11" t="n">
        <x:f>H523*I523*(1-J523)</x:f>
        <x:v>918</x:v>
      </x:c>
      <x:c r="L523" s="11" t="n">
        <x:f>H523*(I523*0.62)</x:f>
        <x:v>632.4000000000001</x:v>
      </x:c>
      <x:c r="M523" s="11" t="n">
        <x:f>K523-L523</x:f>
        <x:v>285.5999999999999</x:v>
      </x:c>
      <x:c r="N523" s="8" t="str">
        <x:v>Online</x:v>
      </x:c>
      <x:c r="O523" s="8" t="str">
        <x:v>Credit Card</x:v>
      </x:c>
      <x:c r="P523" s="8" t="str">
        <x:v>Shipped</x:v>
      </x:c>
    </x:row>
    <x:row r="524">
      <x:c r="A524" s="8" t="str">
        <x:v>ORD-2025523</x:v>
      </x:c>
      <x:c r="B524" s="9" t="n">
        <x:v>45973</x:v>
      </x:c>
      <x:c r="C524" s="8" t="str">
        <x:v>West</x:v>
      </x:c>
      <x:c r="D524" s="8" t="str">
        <x:v>Emma Martin</x:v>
      </x:c>
      <x:c r="E524" s="8" t="str">
        <x:v>Urban Co</x:v>
      </x:c>
      <x:c r="F524" s="8" t="str">
        <x:v>Hardware</x:v>
      </x:c>
      <x:c r="G524" s="8" t="str">
        <x:v>Dock Station</x:v>
      </x:c>
      <x:c r="H524" s="10" t="n">
        <x:v>15</x:v>
      </x:c>
      <x:c r="I524" s="11" t="n">
        <x:v>180</x:v>
      </x:c>
      <x:c r="J524" s="12" t="n">
        <x:v>0</x:v>
      </x:c>
      <x:c r="K524" s="11" t="n">
        <x:f>H524*I524*(1-J524)</x:f>
        <x:v>2700</x:v>
      </x:c>
      <x:c r="L524" s="11" t="n">
        <x:f>H524*(I524*0.62)</x:f>
        <x:v>1674</x:v>
      </x:c>
      <x:c r="M524" s="11" t="n">
        <x:f>K524-L524</x:f>
        <x:v>1026</x:v>
      </x:c>
      <x:c r="N524" s="8" t="str">
        <x:v>Direct</x:v>
      </x:c>
      <x:c r="O524" s="8" t="str">
        <x:v>Bank Transfer</x:v>
      </x:c>
      <x:c r="P524" s="8" t="str">
        <x:v>Shipped</x:v>
      </x:c>
    </x:row>
    <x:row r="525">
      <x:c r="A525" s="8" t="str">
        <x:v>ORD-2025524</x:v>
      </x:c>
      <x:c r="B525" s="9" t="n">
        <x:v>45715</x:v>
      </x:c>
      <x:c r="C525" s="8" t="str">
        <x:v>North</x:v>
      </x:c>
      <x:c r="D525" s="8" t="str">
        <x:v>Mia Johnson</x:v>
      </x:c>
      <x:c r="E525" s="8" t="str">
        <x:v>Nova Group</x:v>
      </x:c>
      <x:c r="F525" s="8" t="str">
        <x:v>Hardware</x:v>
      </x:c>
      <x:c r="G525" s="8" t="str">
        <x:v>Laptop X</x:v>
      </x:c>
      <x:c r="H525" s="10" t="n">
        <x:v>5</x:v>
      </x:c>
      <x:c r="I525" s="11" t="n">
        <x:v>1500</x:v>
      </x:c>
      <x:c r="J525" s="12" t="n">
        <x:v>0.2</x:v>
      </x:c>
      <x:c r="K525" s="11" t="n">
        <x:f>H525*I525*(1-J525)</x:f>
        <x:v>6000</x:v>
      </x:c>
      <x:c r="L525" s="11" t="n">
        <x:f>H525*(I525*0.62)</x:f>
        <x:v>4650</x:v>
      </x:c>
      <x:c r="M525" s="11" t="n">
        <x:f>K525-L525</x:f>
        <x:v>1350</x:v>
      </x:c>
      <x:c r="N525" s="8" t="str">
        <x:v>Partner</x:v>
      </x:c>
      <x:c r="O525" s="8" t="str">
        <x:v>Credit Card</x:v>
      </x:c>
      <x:c r="P525" s="8" t="str">
        <x:v>Closed Won</x:v>
      </x:c>
    </x:row>
    <x:row r="526">
      <x:c r="A526" s="8" t="str">
        <x:v>ORD-2025525</x:v>
      </x:c>
      <x:c r="B526" s="9" t="n">
        <x:v>45888</x:v>
      </x:c>
      <x:c r="C526" s="8" t="str">
        <x:v>West</x:v>
      </x:c>
      <x:c r="D526" s="8" t="str">
        <x:v>Ava Patel</x:v>
      </x:c>
      <x:c r="E526" s="8" t="str">
        <x:v>BrightPath Co</x:v>
      </x:c>
      <x:c r="F526" s="8" t="str">
        <x:v>Software</x:v>
      </x:c>
      <x:c r="G526" s="8" t="str">
        <x:v>HR Suite</x:v>
      </x:c>
      <x:c r="H526" s="10" t="n">
        <x:v>7</x:v>
      </x:c>
      <x:c r="I526" s="11" t="n">
        <x:v>950</x:v>
      </x:c>
      <x:c r="J526" s="12" t="n">
        <x:v>0.15</x:v>
      </x:c>
      <x:c r="K526" s="11" t="n">
        <x:f>H526*I526*(1-J526)</x:f>
        <x:v>5652.5</x:v>
      </x:c>
      <x:c r="L526" s="11" t="n">
        <x:f>H526*(I526*0.62)</x:f>
        <x:v>4123</x:v>
      </x:c>
      <x:c r="M526" s="11" t="n">
        <x:f>K526-L526</x:f>
        <x:v>1529.5</x:v>
      </x:c>
      <x:c r="N526" s="8" t="str">
        <x:v>Online</x:v>
      </x:c>
      <x:c r="O526" s="8" t="str">
        <x:v>Bank Transfer</x:v>
      </x:c>
      <x:c r="P526" s="8" t="str">
        <x:v>Closed Won</x:v>
      </x:c>
    </x:row>
    <x:row r="527">
      <x:c r="A527" s="8" t="str">
        <x:v>ORD-2025526</x:v>
      </x:c>
      <x:c r="B527" s="9" t="n">
        <x:v>45976</x:v>
      </x:c>
      <x:c r="C527" s="8" t="str">
        <x:v>South</x:v>
      </x:c>
      <x:c r="D527" s="8" t="str">
        <x:v>Ava Patel</x:v>
      </x:c>
      <x:c r="E527" s="8" t="str">
        <x:v>SilverLine LLC</x:v>
      </x:c>
      <x:c r="F527" s="8" t="str">
        <x:v>Services</x:v>
      </x:c>
      <x:c r="G527" s="8" t="str">
        <x:v>Consulting Day</x:v>
      </x:c>
      <x:c r="H527" s="10" t="n">
        <x:v>19</x:v>
      </x:c>
      <x:c r="I527" s="11" t="n">
        <x:v>1400</x:v>
      </x:c>
      <x:c r="J527" s="12" t="n">
        <x:v>0.15</x:v>
      </x:c>
      <x:c r="K527" s="11" t="n">
        <x:f>H527*I527*(1-J527)</x:f>
        <x:v>22610</x:v>
      </x:c>
      <x:c r="L527" s="11" t="n">
        <x:f>H527*(I527*0.62)</x:f>
        <x:v>16492</x:v>
      </x:c>
      <x:c r="M527" s="11" t="n">
        <x:f>K527-L527</x:f>
        <x:v>6118</x:v>
      </x:c>
      <x:c r="N527" s="8" t="str">
        <x:v>Online</x:v>
      </x:c>
      <x:c r="O527" s="8" t="str">
        <x:v>Credit Card</x:v>
      </x:c>
      <x:c r="P527" s="8" t="str">
        <x:v>Closed Won</x:v>
      </x:c>
    </x:row>
    <x:row r="528">
      <x:c r="A528" s="8" t="str">
        <x:v>ORD-2025527</x:v>
      </x:c>
      <x:c r="B528" s="9" t="n">
        <x:v>45760</x:v>
      </x:c>
      <x:c r="C528" s="8" t="str">
        <x:v>Central</x:v>
      </x:c>
      <x:c r="D528" s="8" t="str">
        <x:v>Ethan Garcia</x:v>
      </x:c>
      <x:c r="E528" s="8" t="str">
        <x:v>Summit Co</x:v>
      </x:c>
      <x:c r="F528" s="8" t="str">
        <x:v>Software</x:v>
      </x:c>
      <x:c r="G528" s="8" t="str">
        <x:v>HR Suite</x:v>
      </x:c>
      <x:c r="H528" s="10" t="n">
        <x:v>15</x:v>
      </x:c>
      <x:c r="I528" s="11" t="n">
        <x:v>950</x:v>
      </x:c>
      <x:c r="J528" s="12" t="n">
        <x:v>0.15</x:v>
      </x:c>
      <x:c r="K528" s="11" t="n">
        <x:f>H528*I528*(1-J528)</x:f>
        <x:v>12112.5</x:v>
      </x:c>
      <x:c r="L528" s="11" t="n">
        <x:f>H528*(I528*0.62)</x:f>
        <x:v>8835</x:v>
      </x:c>
      <x:c r="M528" s="11" t="n">
        <x:f>K528-L528</x:f>
        <x:v>3277.5</x:v>
      </x:c>
      <x:c r="N528" s="8" t="str">
        <x:v>Direct</x:v>
      </x:c>
      <x:c r="O528" s="8" t="str">
        <x:v>Credit Card</x:v>
      </x:c>
      <x:c r="P528" s="8" t="str">
        <x:v>Closed Won</x:v>
      </x:c>
    </x:row>
    <x:row r="529">
      <x:c r="A529" s="8" t="str">
        <x:v>ORD-2025528</x:v>
      </x:c>
      <x:c r="B529" s="9" t="n">
        <x:v>45713</x:v>
      </x:c>
      <x:c r="C529" s="8" t="str">
        <x:v>North</x:v>
      </x:c>
      <x:c r="D529" s="8" t="str">
        <x:v>Ethan Garcia</x:v>
      </x:c>
      <x:c r="E529" s="8" t="str">
        <x:v>SilverLine Inc</x:v>
      </x:c>
      <x:c r="F529" s="8" t="str">
        <x:v>Services</x:v>
      </x:c>
      <x:c r="G529" s="8" t="str">
        <x:v>Support Plus</x:v>
      </x:c>
      <x:c r="H529" s="10" t="n">
        <x:v>8</x:v>
      </x:c>
      <x:c r="I529" s="11" t="n">
        <x:v>650</x:v>
      </x:c>
      <x:c r="J529" s="12" t="n">
        <x:v>0.05</x:v>
      </x:c>
      <x:c r="K529" s="11" t="n">
        <x:f>H529*I529*(1-J529)</x:f>
        <x:v>4940</x:v>
      </x:c>
      <x:c r="L529" s="11" t="n">
        <x:f>H529*(I529*0.62)</x:f>
        <x:v>3224</x:v>
      </x:c>
      <x:c r="M529" s="11" t="n">
        <x:f>K529-L529</x:f>
        <x:v>1716</x:v>
      </x:c>
      <x:c r="N529" s="8" t="str">
        <x:v>Online</x:v>
      </x:c>
      <x:c r="O529" s="8" t="str">
        <x:v>Credit Card</x:v>
      </x:c>
      <x:c r="P529" s="8" t="str">
        <x:v>Cancelled</x:v>
      </x:c>
    </x:row>
    <x:row r="530">
      <x:c r="A530" s="8" t="str">
        <x:v>ORD-2025529</x:v>
      </x:c>
      <x:c r="B530" s="9" t="n">
        <x:v>45753</x:v>
      </x:c>
      <x:c r="C530" s="8" t="str">
        <x:v>South</x:v>
      </x:c>
      <x:c r="D530" s="8" t="str">
        <x:v>Mason Lee</x:v>
      </x:c>
      <x:c r="E530" s="8" t="str">
        <x:v>GoldenGate Co</x:v>
      </x:c>
      <x:c r="F530" s="8" t="str">
        <x:v>Accessories</x:v>
      </x:c>
      <x:c r="G530" s="8" t="str">
        <x:v>Wireless Mouse</x:v>
      </x:c>
      <x:c r="H530" s="10" t="n">
        <x:v>18</x:v>
      </x:c>
      <x:c r="I530" s="11" t="n">
        <x:v>40</x:v>
      </x:c>
      <x:c r="J530" s="12" t="n">
        <x:v>0.15</x:v>
      </x:c>
      <x:c r="K530" s="11" t="n">
        <x:f>H530*I530*(1-J530)</x:f>
        <x:v>612</x:v>
      </x:c>
      <x:c r="L530" s="11" t="n">
        <x:f>H530*(I530*0.62)</x:f>
        <x:v>446.40000000000003</x:v>
      </x:c>
      <x:c r="M530" s="11" t="n">
        <x:f>K530-L530</x:f>
        <x:v>165.59999999999997</x:v>
      </x:c>
      <x:c r="N530" s="8" t="str">
        <x:v>Direct</x:v>
      </x:c>
      <x:c r="O530" s="8" t="str">
        <x:v>Credit Card</x:v>
      </x:c>
      <x:c r="P530" s="8" t="str">
        <x:v>Closed Won</x:v>
      </x:c>
    </x:row>
    <x:row r="531">
      <x:c r="A531" s="8" t="str">
        <x:v>ORD-2025530</x:v>
      </x:c>
      <x:c r="B531" s="9" t="n">
        <x:v>45908</x:v>
      </x:c>
      <x:c r="C531" s="8" t="str">
        <x:v>West</x:v>
      </x:c>
      <x:c r="D531" s="8" t="str">
        <x:v>Noah Davis</x:v>
      </x:c>
      <x:c r="E531" s="8" t="str">
        <x:v>Acme Co</x:v>
      </x:c>
      <x:c r="F531" s="8" t="str">
        <x:v>Services</x:v>
      </x:c>
      <x:c r="G531" s="8" t="str">
        <x:v>Support Plus</x:v>
      </x:c>
      <x:c r="H531" s="10" t="n">
        <x:v>12</x:v>
      </x:c>
      <x:c r="I531" s="11" t="n">
        <x:v>650</x:v>
      </x:c>
      <x:c r="J531" s="12" t="n">
        <x:v>0.15</x:v>
      </x:c>
      <x:c r="K531" s="11" t="n">
        <x:f>H531*I531*(1-J531)</x:f>
        <x:v>6630</x:v>
      </x:c>
      <x:c r="L531" s="11" t="n">
        <x:f>H531*(I531*0.62)</x:f>
        <x:v>4836</x:v>
      </x:c>
      <x:c r="M531" s="11" t="n">
        <x:f>K531-L531</x:f>
        <x:v>1794</x:v>
      </x:c>
      <x:c r="N531" s="8" t="str">
        <x:v>Partner</x:v>
      </x:c>
      <x:c r="O531" s="8" t="str">
        <x:v>Invoice</x:v>
      </x:c>
      <x:c r="P531" s="8" t="str">
        <x:v>Shipped</x:v>
      </x:c>
    </x:row>
    <x:row r="532">
      <x:c r="A532" s="8" t="str">
        <x:v>ORD-2025531</x:v>
      </x:c>
      <x:c r="B532" s="9" t="n">
        <x:v>45689</x:v>
      </x:c>
      <x:c r="C532" s="8" t="str">
        <x:v>East</x:v>
      </x:c>
      <x:c r="D532" s="8" t="str">
        <x:v>Lucas Brown</x:v>
      </x:c>
      <x:c r="E532" s="8" t="str">
        <x:v>Acme Group</x:v>
      </x:c>
      <x:c r="F532" s="8" t="str">
        <x:v>Hardware</x:v>
      </x:c>
      <x:c r="G532" s="8" t="str">
        <x:v>Dock Station</x:v>
      </x:c>
      <x:c r="H532" s="10" t="n">
        <x:v>18</x:v>
      </x:c>
      <x:c r="I532" s="11" t="n">
        <x:v>180</x:v>
      </x:c>
      <x:c r="J532" s="12" t="n">
        <x:v>0</x:v>
      </x:c>
      <x:c r="K532" s="11" t="n">
        <x:f>H532*I532*(1-J532)</x:f>
        <x:v>3240</x:v>
      </x:c>
      <x:c r="L532" s="11" t="n">
        <x:f>H532*(I532*0.62)</x:f>
        <x:v>2008.8</x:v>
      </x:c>
      <x:c r="M532" s="11" t="n">
        <x:f>K532-L532</x:f>
        <x:v>1231.2</x:v>
      </x:c>
      <x:c r="N532" s="8" t="str">
        <x:v>Direct</x:v>
      </x:c>
      <x:c r="O532" s="8" t="str">
        <x:v>Bank Transfer</x:v>
      </x:c>
      <x:c r="P532" s="8" t="str">
        <x:v>Closed Won</x:v>
      </x:c>
    </x:row>
    <x:row r="533">
      <x:c r="A533" s="8" t="str">
        <x:v>ORD-2025532</x:v>
      </x:c>
      <x:c r="B533" s="9" t="n">
        <x:v>45702</x:v>
      </x:c>
      <x:c r="C533" s="8" t="str">
        <x:v>West</x:v>
      </x:c>
      <x:c r="D533" s="8" t="str">
        <x:v>Mason Lee</x:v>
      </x:c>
      <x:c r="E533" s="8" t="str">
        <x:v>Nova Co</x:v>
      </x:c>
      <x:c r="F533" s="8" t="str">
        <x:v>Accessories</x:v>
      </x:c>
      <x:c r="G533" s="8" t="str">
        <x:v>Keyboard Pro</x:v>
      </x:c>
      <x:c r="H533" s="10" t="n">
        <x:v>21</x:v>
      </x:c>
      <x:c r="I533" s="11" t="n">
        <x:v>95</x:v>
      </x:c>
      <x:c r="J533" s="12" t="n">
        <x:v>0.15</x:v>
      </x:c>
      <x:c r="K533" s="11" t="n">
        <x:f>H533*I533*(1-J533)</x:f>
        <x:v>1695.75</x:v>
      </x:c>
      <x:c r="L533" s="11" t="n">
        <x:f>H533*(I533*0.62)</x:f>
        <x:v>1236.8999999999999</x:v>
      </x:c>
      <x:c r="M533" s="11" t="n">
        <x:f>K533-L533</x:f>
        <x:v>458.85000000000014</x:v>
      </x:c>
      <x:c r="N533" s="8" t="str">
        <x:v>Direct</x:v>
      </x:c>
      <x:c r="O533" s="8" t="str">
        <x:v>PayPal</x:v>
      </x:c>
      <x:c r="P533" s="8" t="str">
        <x:v>Closed Won</x:v>
      </x:c>
    </x:row>
    <x:row r="534">
      <x:c r="A534" s="8" t="str">
        <x:v>ORD-2025533</x:v>
      </x:c>
      <x:c r="B534" s="9" t="n">
        <x:v>45817</x:v>
      </x:c>
      <x:c r="C534" s="8" t="str">
        <x:v>Central</x:v>
      </x:c>
      <x:c r="D534" s="8" t="str">
        <x:v>Sophia Kim</x:v>
      </x:c>
      <x:c r="E534" s="8" t="str">
        <x:v>GoldenGate Inc</x:v>
      </x:c>
      <x:c r="F534" s="8" t="str">
        <x:v>Hardware</x:v>
      </x:c>
      <x:c r="G534" s="8" t="str">
        <x:v>Monitor 27</x:v>
      </x:c>
      <x:c r="H534" s="10" t="n">
        <x:v>18</x:v>
      </x:c>
      <x:c r="I534" s="11" t="n">
        <x:v>320</x:v>
      </x:c>
      <x:c r="J534" s="12" t="n">
        <x:v>0</x:v>
      </x:c>
      <x:c r="K534" s="11" t="n">
        <x:f>H534*I534*(1-J534)</x:f>
        <x:v>5760</x:v>
      </x:c>
      <x:c r="L534" s="11" t="n">
        <x:f>H534*(I534*0.62)</x:f>
        <x:v>3571.2000000000003</x:v>
      </x:c>
      <x:c r="M534" s="11" t="n">
        <x:f>K534-L534</x:f>
        <x:v>2188.7999999999997</x:v>
      </x:c>
      <x:c r="N534" s="8" t="str">
        <x:v>Direct</x:v>
      </x:c>
      <x:c r="O534" s="8" t="str">
        <x:v>Bank Transfer</x:v>
      </x:c>
      <x:c r="P534" s="8" t="str">
        <x:v>Shipped</x:v>
      </x:c>
    </x:row>
    <x:row r="535">
      <x:c r="A535" s="8" t="str">
        <x:v>ORD-2025534</x:v>
      </x:c>
      <x:c r="B535" s="9" t="n">
        <x:v>45816</x:v>
      </x:c>
      <x:c r="C535" s="8" t="str">
        <x:v>Central</x:v>
      </x:c>
      <x:c r="D535" s="8" t="str">
        <x:v>Noah Davis</x:v>
      </x:c>
      <x:c r="E535" s="8" t="str">
        <x:v>RedStone Group</x:v>
      </x:c>
      <x:c r="F535" s="8" t="str">
        <x:v>Hardware</x:v>
      </x:c>
      <x:c r="G535" s="8" t="str">
        <x:v>Tablet Air</x:v>
      </x:c>
      <x:c r="H535" s="10" t="n">
        <x:v>25</x:v>
      </x:c>
      <x:c r="I535" s="11" t="n">
        <x:v>820</x:v>
      </x:c>
      <x:c r="J535" s="12" t="n">
        <x:v>0</x:v>
      </x:c>
      <x:c r="K535" s="11" t="n">
        <x:f>H535*I535*(1-J535)</x:f>
        <x:v>20500</x:v>
      </x:c>
      <x:c r="L535" s="11" t="n">
        <x:f>H535*(I535*0.62)</x:f>
        <x:v>12710</x:v>
      </x:c>
      <x:c r="M535" s="11" t="n">
        <x:f>K535-L535</x:f>
        <x:v>7790</x:v>
      </x:c>
      <x:c r="N535" s="8" t="str">
        <x:v>Online</x:v>
      </x:c>
      <x:c r="O535" s="8" t="str">
        <x:v>Bank Transfer</x:v>
      </x:c>
      <x:c r="P535" s="8" t="str">
        <x:v>Closed Won</x:v>
      </x:c>
    </x:row>
    <x:row r="536">
      <x:c r="A536" s="8" t="str">
        <x:v>ORD-2025535</x:v>
      </x:c>
      <x:c r="B536" s="9" t="n">
        <x:v>45820</x:v>
      </x:c>
      <x:c r="C536" s="8" t="str">
        <x:v>South</x:v>
      </x:c>
      <x:c r="D536" s="8" t="str">
        <x:v>Ava Patel</x:v>
      </x:c>
      <x:c r="E536" s="8" t="str">
        <x:v>BrightPath LLC</x:v>
      </x:c>
      <x:c r="F536" s="8" t="str">
        <x:v>Software</x:v>
      </x:c>
      <x:c r="G536" s="8" t="str">
        <x:v>Analytics Cloud</x:v>
      </x:c>
      <x:c r="H536" s="10" t="n">
        <x:v>14</x:v>
      </x:c>
      <x:c r="I536" s="11" t="n">
        <x:v>1800</x:v>
      </x:c>
      <x:c r="J536" s="12" t="n">
        <x:v>0.05</x:v>
      </x:c>
      <x:c r="K536" s="11" t="n">
        <x:f>H536*I536*(1-J536)</x:f>
        <x:v>23940</x:v>
      </x:c>
      <x:c r="L536" s="11" t="n">
        <x:f>H536*(I536*0.62)</x:f>
        <x:v>15624</x:v>
      </x:c>
      <x:c r="M536" s="11" t="n">
        <x:f>K536-L536</x:f>
        <x:v>8316</x:v>
      </x:c>
      <x:c r="N536" s="8" t="str">
        <x:v>Partner</x:v>
      </x:c>
      <x:c r="O536" s="8" t="str">
        <x:v>PayPal</x:v>
      </x:c>
      <x:c r="P536" s="8" t="str">
        <x:v>Shipped</x:v>
      </x:c>
    </x:row>
    <x:row r="537">
      <x:c r="A537" s="8" t="str">
        <x:v>ORD-2025536</x:v>
      </x:c>
      <x:c r="B537" s="9" t="n">
        <x:v>45754</x:v>
      </x:c>
      <x:c r="C537" s="8" t="str">
        <x:v>North</x:v>
      </x:c>
      <x:c r="D537" s="8" t="str">
        <x:v>Noah Davis</x:v>
      </x:c>
      <x:c r="E537" s="8" t="str">
        <x:v>GreenLeaf Group</x:v>
      </x:c>
      <x:c r="F537" s="8" t="str">
        <x:v>Services</x:v>
      </x:c>
      <x:c r="G537" s="8" t="str">
        <x:v>Training</x:v>
      </x:c>
      <x:c r="H537" s="10" t="n">
        <x:v>1</x:v>
      </x:c>
      <x:c r="I537" s="11" t="n">
        <x:v>900</x:v>
      </x:c>
      <x:c r="J537" s="12" t="n">
        <x:v>0.2</x:v>
      </x:c>
      <x:c r="K537" s="11" t="n">
        <x:f>H537*I537*(1-J537)</x:f>
        <x:v>720</x:v>
      </x:c>
      <x:c r="L537" s="11" t="n">
        <x:f>H537*(I537*0.62)</x:f>
        <x:v>558</x:v>
      </x:c>
      <x:c r="M537" s="11" t="n">
        <x:f>K537-L537</x:f>
        <x:v>162</x:v>
      </x:c>
      <x:c r="N537" s="8" t="str">
        <x:v>Online</x:v>
      </x:c>
      <x:c r="O537" s="8" t="str">
        <x:v>Invoice</x:v>
      </x:c>
      <x:c r="P537" s="8" t="str">
        <x:v>Shipped</x:v>
      </x:c>
    </x:row>
    <x:row r="538">
      <x:c r="A538" s="8" t="str">
        <x:v>ORD-2025537</x:v>
      </x:c>
      <x:c r="B538" s="9" t="n">
        <x:v>45776</x:v>
      </x:c>
      <x:c r="C538" s="8" t="str">
        <x:v>North</x:v>
      </x:c>
      <x:c r="D538" s="8" t="str">
        <x:v>Sophia Kim</x:v>
      </x:c>
      <x:c r="E538" s="8" t="str">
        <x:v>BlueSky Co</x:v>
      </x:c>
      <x:c r="F538" s="8" t="str">
        <x:v>Hardware</x:v>
      </x:c>
      <x:c r="G538" s="8" t="str">
        <x:v>Tablet Air</x:v>
      </x:c>
      <x:c r="H538" s="10" t="n">
        <x:v>23</x:v>
      </x:c>
      <x:c r="I538" s="11" t="n">
        <x:v>820</x:v>
      </x:c>
      <x:c r="J538" s="12" t="n">
        <x:v>0.2</x:v>
      </x:c>
      <x:c r="K538" s="11" t="n">
        <x:f>H538*I538*(1-J538)</x:f>
        <x:v>15088</x:v>
      </x:c>
      <x:c r="L538" s="11" t="n">
        <x:f>H538*(I538*0.62)</x:f>
        <x:v>11693.199999999999</x:v>
      </x:c>
      <x:c r="M538" s="11" t="n">
        <x:f>K538-L538</x:f>
        <x:v>3394.800000000001</x:v>
      </x:c>
      <x:c r="N538" s="8" t="str">
        <x:v>Partner</x:v>
      </x:c>
      <x:c r="O538" s="8" t="str">
        <x:v>Bank Transfer</x:v>
      </x:c>
      <x:c r="P538" s="8" t="str">
        <x:v>Pending</x:v>
      </x:c>
    </x:row>
    <x:row r="539">
      <x:c r="A539" s="8" t="str">
        <x:v>ORD-2025538</x:v>
      </x:c>
      <x:c r="B539" s="9" t="n">
        <x:v>45752</x:v>
      </x:c>
      <x:c r="C539" s="8" t="str">
        <x:v>West</x:v>
      </x:c>
      <x:c r="D539" s="8" t="str">
        <x:v>Olivia Wilson</x:v>
      </x:c>
      <x:c r="E539" s="8" t="str">
        <x:v>NorthStar LLC</x:v>
      </x:c>
      <x:c r="F539" s="8" t="str">
        <x:v>Accessories</x:v>
      </x:c>
      <x:c r="G539" s="8" t="str">
        <x:v>Webcam HD</x:v>
      </x:c>
      <x:c r="H539" s="10" t="n">
        <x:v>5</x:v>
      </x:c>
      <x:c r="I539" s="11" t="n">
        <x:v>110</x:v>
      </x:c>
      <x:c r="J539" s="12" t="n">
        <x:v>0</x:v>
      </x:c>
      <x:c r="K539" s="11" t="n">
        <x:f>H539*I539*(1-J539)</x:f>
        <x:v>550</x:v>
      </x:c>
      <x:c r="L539" s="11" t="n">
        <x:f>H539*(I539*0.62)</x:f>
        <x:v>341</x:v>
      </x:c>
      <x:c r="M539" s="11" t="n">
        <x:f>K539-L539</x:f>
        <x:v>209</x:v>
      </x:c>
      <x:c r="N539" s="8" t="str">
        <x:v>Direct</x:v>
      </x:c>
      <x:c r="O539" s="8" t="str">
        <x:v>Bank Transfer</x:v>
      </x:c>
      <x:c r="P539" s="8" t="str">
        <x:v>Closed Won</x:v>
      </x:c>
    </x:row>
    <x:row r="540">
      <x:c r="A540" s="8" t="str">
        <x:v>ORD-2025539</x:v>
      </x:c>
      <x:c r="B540" s="9" t="n">
        <x:v>45869</x:v>
      </x:c>
      <x:c r="C540" s="8" t="str">
        <x:v>South</x:v>
      </x:c>
      <x:c r="D540" s="8" t="str">
        <x:v>Mia Johnson</x:v>
      </x:c>
      <x:c r="E540" s="8" t="str">
        <x:v>Nexus Co</x:v>
      </x:c>
      <x:c r="F540" s="8" t="str">
        <x:v>Software</x:v>
      </x:c>
      <x:c r="G540" s="8" t="str">
        <x:v>HR Suite</x:v>
      </x:c>
      <x:c r="H540" s="10" t="n">
        <x:v>3</x:v>
      </x:c>
      <x:c r="I540" s="11" t="n">
        <x:v>950</x:v>
      </x:c>
      <x:c r="J540" s="12" t="n">
        <x:v>0</x:v>
      </x:c>
      <x:c r="K540" s="11" t="n">
        <x:f>H540*I540*(1-J540)</x:f>
        <x:v>2850</x:v>
      </x:c>
      <x:c r="L540" s="11" t="n">
        <x:f>H540*(I540*0.62)</x:f>
        <x:v>1767</x:v>
      </x:c>
      <x:c r="M540" s="11" t="n">
        <x:f>K540-L540</x:f>
        <x:v>1083</x:v>
      </x:c>
      <x:c r="N540" s="8" t="str">
        <x:v>Partner</x:v>
      </x:c>
      <x:c r="O540" s="8" t="str">
        <x:v>PayPal</x:v>
      </x:c>
      <x:c r="P540" s="8" t="str">
        <x:v>Shipped</x:v>
      </x:c>
    </x:row>
    <x:row r="541">
      <x:c r="A541" s="8" t="str">
        <x:v>ORD-2025540</x:v>
      </x:c>
      <x:c r="B541" s="9" t="n">
        <x:v>45876</x:v>
      </x:c>
      <x:c r="C541" s="8" t="str">
        <x:v>West</x:v>
      </x:c>
      <x:c r="D541" s="8" t="str">
        <x:v>Ava Patel</x:v>
      </x:c>
      <x:c r="E541" s="8" t="str">
        <x:v>Nova Inc</x:v>
      </x:c>
      <x:c r="F541" s="8" t="str">
        <x:v>Accessories</x:v>
      </x:c>
      <x:c r="G541" s="8" t="str">
        <x:v>Keyboard Pro</x:v>
      </x:c>
      <x:c r="H541" s="10" t="n">
        <x:v>24</x:v>
      </x:c>
      <x:c r="I541" s="11" t="n">
        <x:v>95</x:v>
      </x:c>
      <x:c r="J541" s="12" t="n">
        <x:v>0.2</x:v>
      </x:c>
      <x:c r="K541" s="11" t="n">
        <x:f>H541*I541*(1-J541)</x:f>
        <x:v>1824</x:v>
      </x:c>
      <x:c r="L541" s="11" t="n">
        <x:f>H541*(I541*0.62)</x:f>
        <x:v>1413.6</x:v>
      </x:c>
      <x:c r="M541" s="11" t="n">
        <x:f>K541-L541</x:f>
        <x:v>410.4000000000001</x:v>
      </x:c>
      <x:c r="N541" s="8" t="str">
        <x:v>Partner</x:v>
      </x:c>
      <x:c r="O541" s="8" t="str">
        <x:v>Invoice</x:v>
      </x:c>
      <x:c r="P541" s="8" t="str">
        <x:v>Closed Won</x:v>
      </x:c>
    </x:row>
    <x:row r="542">
      <x:c r="A542" s="8" t="str">
        <x:v>ORD-2025541</x:v>
      </x:c>
      <x:c r="B542" s="9" t="n">
        <x:v>45889</x:v>
      </x:c>
      <x:c r="C542" s="8" t="str">
        <x:v>West</x:v>
      </x:c>
      <x:c r="D542" s="8" t="str">
        <x:v>Ava Patel</x:v>
      </x:c>
      <x:c r="E542" s="8" t="str">
        <x:v>Cedar Group</x:v>
      </x:c>
      <x:c r="F542" s="8" t="str">
        <x:v>Software</x:v>
      </x:c>
      <x:c r="G542" s="8" t="str">
        <x:v>CRM Pro</x:v>
      </x:c>
      <x:c r="H542" s="10" t="n">
        <x:v>17</x:v>
      </x:c>
      <x:c r="I542" s="11" t="n">
        <x:v>1200</x:v>
      </x:c>
      <x:c r="J542" s="12" t="n">
        <x:v>0.1</x:v>
      </x:c>
      <x:c r="K542" s="11" t="n">
        <x:f>H542*I542*(1-J542)</x:f>
        <x:v>18360</x:v>
      </x:c>
      <x:c r="L542" s="11" t="n">
        <x:f>H542*(I542*0.62)</x:f>
        <x:v>12648</x:v>
      </x:c>
      <x:c r="M542" s="11" t="n">
        <x:f>K542-L542</x:f>
        <x:v>5712</x:v>
      </x:c>
      <x:c r="N542" s="8" t="str">
        <x:v>Partner</x:v>
      </x:c>
      <x:c r="O542" s="8" t="str">
        <x:v>Credit Card</x:v>
      </x:c>
      <x:c r="P542" s="8" t="str">
        <x:v>Shipped</x:v>
      </x:c>
    </x:row>
    <x:row r="543">
      <x:c r="A543" s="8" t="str">
        <x:v>ORD-2025542</x:v>
      </x:c>
      <x:c r="B543" s="9" t="n">
        <x:v>45807</x:v>
      </x:c>
      <x:c r="C543" s="8" t="str">
        <x:v>West</x:v>
      </x:c>
      <x:c r="D543" s="8" t="str">
        <x:v>Lucas Brown</x:v>
      </x:c>
      <x:c r="E543" s="8" t="str">
        <x:v>Vertex Co</x:v>
      </x:c>
      <x:c r="F543" s="8" t="str">
        <x:v>Software</x:v>
      </x:c>
      <x:c r="G543" s="8" t="str">
        <x:v>Analytics Cloud</x:v>
      </x:c>
      <x:c r="H543" s="10" t="n">
        <x:v>25</x:v>
      </x:c>
      <x:c r="I543" s="11" t="n">
        <x:v>1800</x:v>
      </x:c>
      <x:c r="J543" s="12" t="n">
        <x:v>0.2</x:v>
      </x:c>
      <x:c r="K543" s="11" t="n">
        <x:f>H543*I543*(1-J543)</x:f>
        <x:v>36000</x:v>
      </x:c>
      <x:c r="L543" s="11" t="n">
        <x:f>H543*(I543*0.62)</x:f>
        <x:v>27900</x:v>
      </x:c>
      <x:c r="M543" s="11" t="n">
        <x:f>K543-L543</x:f>
        <x:v>8100</x:v>
      </x:c>
      <x:c r="N543" s="8" t="str">
        <x:v>Partner</x:v>
      </x:c>
      <x:c r="O543" s="8" t="str">
        <x:v>PayPal</x:v>
      </x:c>
      <x:c r="P543" s="8" t="str">
        <x:v>Closed Won</x:v>
      </x:c>
    </x:row>
    <x:row r="544">
      <x:c r="A544" s="8" t="str">
        <x:v>ORD-2025543</x:v>
      </x:c>
      <x:c r="B544" s="9" t="n">
        <x:v>46011</x:v>
      </x:c>
      <x:c r="C544" s="8" t="str">
        <x:v>Central</x:v>
      </x:c>
      <x:c r="D544" s="8" t="str">
        <x:v>Noah Davis</x:v>
      </x:c>
      <x:c r="E544" s="8" t="str">
        <x:v>GoldenGate Group</x:v>
      </x:c>
      <x:c r="F544" s="8" t="str">
        <x:v>Services</x:v>
      </x:c>
      <x:c r="G544" s="8" t="str">
        <x:v>Implementation</x:v>
      </x:c>
      <x:c r="H544" s="10" t="n">
        <x:v>21</x:v>
      </x:c>
      <x:c r="I544" s="11" t="n">
        <x:v>2500</x:v>
      </x:c>
      <x:c r="J544" s="12" t="n">
        <x:v>0.05</x:v>
      </x:c>
      <x:c r="K544" s="11" t="n">
        <x:f>H544*I544*(1-J544)</x:f>
        <x:v>49875</x:v>
      </x:c>
      <x:c r="L544" s="11" t="n">
        <x:f>H544*(I544*0.62)</x:f>
        <x:v>32550</x:v>
      </x:c>
      <x:c r="M544" s="11" t="n">
        <x:f>K544-L544</x:f>
        <x:v>17325</x:v>
      </x:c>
      <x:c r="N544" s="8" t="str">
        <x:v>Direct</x:v>
      </x:c>
      <x:c r="O544" s="8" t="str">
        <x:v>Credit Card</x:v>
      </x:c>
      <x:c r="P544" s="8" t="str">
        <x:v>Closed Won</x:v>
      </x:c>
    </x:row>
    <x:row r="545">
      <x:c r="A545" s="8" t="str">
        <x:v>ORD-2025544</x:v>
      </x:c>
      <x:c r="B545" s="9" t="n">
        <x:v>45869</x:v>
      </x:c>
      <x:c r="C545" s="8" t="str">
        <x:v>East</x:v>
      </x:c>
      <x:c r="D545" s="8" t="str">
        <x:v>Olivia Wilson</x:v>
      </x:c>
      <x:c r="E545" s="8" t="str">
        <x:v>Acme Group</x:v>
      </x:c>
      <x:c r="F545" s="8" t="str">
        <x:v>Hardware</x:v>
      </x:c>
      <x:c r="G545" s="8" t="str">
        <x:v>Monitor 27</x:v>
      </x:c>
      <x:c r="H545" s="10" t="n">
        <x:v>6</x:v>
      </x:c>
      <x:c r="I545" s="11" t="n">
        <x:v>320</x:v>
      </x:c>
      <x:c r="J545" s="12" t="n">
        <x:v>0.05</x:v>
      </x:c>
      <x:c r="K545" s="11" t="n">
        <x:f>H545*I545*(1-J545)</x:f>
        <x:v>1824</x:v>
      </x:c>
      <x:c r="L545" s="11" t="n">
        <x:f>H545*(I545*0.62)</x:f>
        <x:v>1190.4</x:v>
      </x:c>
      <x:c r="M545" s="11" t="n">
        <x:f>K545-L545</x:f>
        <x:v>633.5999999999999</x:v>
      </x:c>
      <x:c r="N545" s="8" t="str">
        <x:v>Online</x:v>
      </x:c>
      <x:c r="O545" s="8" t="str">
        <x:v>Bank Transfer</x:v>
      </x:c>
      <x:c r="P545" s="8" t="str">
        <x:v>Cancelled</x:v>
      </x:c>
    </x:row>
    <x:row r="546">
      <x:c r="A546" s="8" t="str">
        <x:v>ORD-2025545</x:v>
      </x:c>
      <x:c r="B546" s="9" t="n">
        <x:v>45823</x:v>
      </x:c>
      <x:c r="C546" s="8" t="str">
        <x:v>South</x:v>
      </x:c>
      <x:c r="D546" s="8" t="str">
        <x:v>Liam Chen</x:v>
      </x:c>
      <x:c r="E546" s="8" t="str">
        <x:v>BlueSky Group</x:v>
      </x:c>
      <x:c r="F546" s="8" t="str">
        <x:v>Software</x:v>
      </x:c>
      <x:c r="G546" s="8" t="str">
        <x:v>HR Suite</x:v>
      </x:c>
      <x:c r="H546" s="10" t="n">
        <x:v>4</x:v>
      </x:c>
      <x:c r="I546" s="11" t="n">
        <x:v>950</x:v>
      </x:c>
      <x:c r="J546" s="12" t="n">
        <x:v>0.15</x:v>
      </x:c>
      <x:c r="K546" s="11" t="n">
        <x:f>H546*I546*(1-J546)</x:f>
        <x:v>3230</x:v>
      </x:c>
      <x:c r="L546" s="11" t="n">
        <x:f>H546*(I546*0.62)</x:f>
        <x:v>2356</x:v>
      </x:c>
      <x:c r="M546" s="11" t="n">
        <x:f>K546-L546</x:f>
        <x:v>874</x:v>
      </x:c>
      <x:c r="N546" s="8" t="str">
        <x:v>Partner</x:v>
      </x:c>
      <x:c r="O546" s="8" t="str">
        <x:v>Invoice</x:v>
      </x:c>
      <x:c r="P546" s="8" t="str">
        <x:v>Closed Won</x:v>
      </x:c>
    </x:row>
    <x:row r="547">
      <x:c r="A547" s="8" t="str">
        <x:v>ORD-2025546</x:v>
      </x:c>
      <x:c r="B547" s="9" t="n">
        <x:v>45851</x:v>
      </x:c>
      <x:c r="C547" s="8" t="str">
        <x:v>Central</x:v>
      </x:c>
      <x:c r="D547" s="8" t="str">
        <x:v>Lucas Brown</x:v>
      </x:c>
      <x:c r="E547" s="8" t="str">
        <x:v>Summit Inc</x:v>
      </x:c>
      <x:c r="F547" s="8" t="str">
        <x:v>Accessories</x:v>
      </x:c>
      <x:c r="G547" s="8" t="str">
        <x:v>Keyboard Pro</x:v>
      </x:c>
      <x:c r="H547" s="10" t="n">
        <x:v>25</x:v>
      </x:c>
      <x:c r="I547" s="11" t="n">
        <x:v>95</x:v>
      </x:c>
      <x:c r="J547" s="12" t="n">
        <x:v>0</x:v>
      </x:c>
      <x:c r="K547" s="11" t="n">
        <x:f>H547*I547*(1-J547)</x:f>
        <x:v>2375</x:v>
      </x:c>
      <x:c r="L547" s="11" t="n">
        <x:f>H547*(I547*0.62)</x:f>
        <x:v>1472.5</x:v>
      </x:c>
      <x:c r="M547" s="11" t="n">
        <x:f>K547-L547</x:f>
        <x:v>902.5</x:v>
      </x:c>
      <x:c r="N547" s="8" t="str">
        <x:v>Partner</x:v>
      </x:c>
      <x:c r="O547" s="8" t="str">
        <x:v>Bank Transfer</x:v>
      </x:c>
      <x:c r="P547" s="8" t="str">
        <x:v>Closed Won</x:v>
      </x:c>
    </x:row>
    <x:row r="548">
      <x:c r="A548" s="8" t="str">
        <x:v>ORD-2025547</x:v>
      </x:c>
      <x:c r="B548" s="9" t="n">
        <x:v>46022</x:v>
      </x:c>
      <x:c r="C548" s="8" t="str">
        <x:v>North</x:v>
      </x:c>
      <x:c r="D548" s="8" t="str">
        <x:v>Lucas Brown</x:v>
      </x:c>
      <x:c r="E548" s="8" t="str">
        <x:v>Vertex Group</x:v>
      </x:c>
      <x:c r="F548" s="8" t="str">
        <x:v>Hardware</x:v>
      </x:c>
      <x:c r="G548" s="8" t="str">
        <x:v>Tablet Air</x:v>
      </x:c>
      <x:c r="H548" s="10" t="n">
        <x:v>10</x:v>
      </x:c>
      <x:c r="I548" s="11" t="n">
        <x:v>820</x:v>
      </x:c>
      <x:c r="J548" s="12" t="n">
        <x:v>0.15</x:v>
      </x:c>
      <x:c r="K548" s="11" t="n">
        <x:f>H548*I548*(1-J548)</x:f>
        <x:v>6970</x:v>
      </x:c>
      <x:c r="L548" s="11" t="n">
        <x:f>H548*(I548*0.62)</x:f>
        <x:v>5084</x:v>
      </x:c>
      <x:c r="M548" s="11" t="n">
        <x:f>K548-L548</x:f>
        <x:v>1886</x:v>
      </x:c>
      <x:c r="N548" s="8" t="str">
        <x:v>Partner</x:v>
      </x:c>
      <x:c r="O548" s="8" t="str">
        <x:v>Invoice</x:v>
      </x:c>
      <x:c r="P548" s="8" t="str">
        <x:v>Shipped</x:v>
      </x:c>
    </x:row>
    <x:row r="549">
      <x:c r="A549" s="8" t="str">
        <x:v>ORD-2025548</x:v>
      </x:c>
      <x:c r="B549" s="9" t="n">
        <x:v>45761</x:v>
      </x:c>
      <x:c r="C549" s="8" t="str">
        <x:v>North</x:v>
      </x:c>
      <x:c r="D549" s="8" t="str">
        <x:v>Emma Martin</x:v>
      </x:c>
      <x:c r="E549" s="8" t="str">
        <x:v>Prime LLC</x:v>
      </x:c>
      <x:c r="F549" s="8" t="str">
        <x:v>Software</x:v>
      </x:c>
      <x:c r="G549" s="8" t="str">
        <x:v>Analytics Cloud</x:v>
      </x:c>
      <x:c r="H549" s="10" t="n">
        <x:v>1</x:v>
      </x:c>
      <x:c r="I549" s="11" t="n">
        <x:v>1800</x:v>
      </x:c>
      <x:c r="J549" s="12" t="n">
        <x:v>0.05</x:v>
      </x:c>
      <x:c r="K549" s="11" t="n">
        <x:f>H549*I549*(1-J549)</x:f>
        <x:v>1710</x:v>
      </x:c>
      <x:c r="L549" s="11" t="n">
        <x:f>H549*(I549*0.62)</x:f>
        <x:v>1116</x:v>
      </x:c>
      <x:c r="M549" s="11" t="n">
        <x:f>K549-L549</x:f>
        <x:v>594</x:v>
      </x:c>
      <x:c r="N549" s="8" t="str">
        <x:v>Partner</x:v>
      </x:c>
      <x:c r="O549" s="8" t="str">
        <x:v>PayPal</x:v>
      </x:c>
      <x:c r="P549" s="8" t="str">
        <x:v>Pending</x:v>
      </x:c>
    </x:row>
    <x:row r="550">
      <x:c r="A550" s="8" t="str">
        <x:v>ORD-2025549</x:v>
      </x:c>
      <x:c r="B550" s="9" t="n">
        <x:v>45779</x:v>
      </x:c>
      <x:c r="C550" s="8" t="str">
        <x:v>South</x:v>
      </x:c>
      <x:c r="D550" s="8" t="str">
        <x:v>Emma Martin</x:v>
      </x:c>
      <x:c r="E550" s="8" t="str">
        <x:v>NorthStar LLC</x:v>
      </x:c>
      <x:c r="F550" s="8" t="str">
        <x:v>Software</x:v>
      </x:c>
      <x:c r="G550" s="8" t="str">
        <x:v>ProjectFlow</x:v>
      </x:c>
      <x:c r="H550" s="10" t="n">
        <x:v>15</x:v>
      </x:c>
      <x:c r="I550" s="11" t="n">
        <x:v>700</x:v>
      </x:c>
      <x:c r="J550" s="12" t="n">
        <x:v>0.05</x:v>
      </x:c>
      <x:c r="K550" s="11" t="n">
        <x:f>H550*I550*(1-J550)</x:f>
        <x:v>9975</x:v>
      </x:c>
      <x:c r="L550" s="11" t="n">
        <x:f>H550*(I550*0.62)</x:f>
        <x:v>6510</x:v>
      </x:c>
      <x:c r="M550" s="11" t="n">
        <x:f>K550-L550</x:f>
        <x:v>3465</x:v>
      </x:c>
      <x:c r="N550" s="8" t="str">
        <x:v>Partner</x:v>
      </x:c>
      <x:c r="O550" s="8" t="str">
        <x:v>Credit Card</x:v>
      </x:c>
      <x:c r="P550" s="8" t="str">
        <x:v>Shipped</x:v>
      </x:c>
    </x:row>
    <x:row r="551">
      <x:c r="A551" s="8" t="str">
        <x:v>ORD-2025550</x:v>
      </x:c>
      <x:c r="B551" s="9" t="n">
        <x:v>45938</x:v>
      </x:c>
      <x:c r="C551" s="8" t="str">
        <x:v>East</x:v>
      </x:c>
      <x:c r="D551" s="8" t="str">
        <x:v>Emma Martin</x:v>
      </x:c>
      <x:c r="E551" s="8" t="str">
        <x:v>Maple Group</x:v>
      </x:c>
      <x:c r="F551" s="8" t="str">
        <x:v>Software</x:v>
      </x:c>
      <x:c r="G551" s="8" t="str">
        <x:v>Analytics Cloud</x:v>
      </x:c>
      <x:c r="H551" s="10" t="n">
        <x:v>7</x:v>
      </x:c>
      <x:c r="I551" s="11" t="n">
        <x:v>1800</x:v>
      </x:c>
      <x:c r="J551" s="12" t="n">
        <x:v>0</x:v>
      </x:c>
      <x:c r="K551" s="11" t="n">
        <x:f>H551*I551*(1-J551)</x:f>
        <x:v>12600</x:v>
      </x:c>
      <x:c r="L551" s="11" t="n">
        <x:f>H551*(I551*0.62)</x:f>
        <x:v>7812</x:v>
      </x:c>
      <x:c r="M551" s="11" t="n">
        <x:f>K551-L551</x:f>
        <x:v>4788</x:v>
      </x:c>
      <x:c r="N551" s="8" t="str">
        <x:v>Direct</x:v>
      </x:c>
      <x:c r="O551" s="8" t="str">
        <x:v>Bank Transfer</x:v>
      </x:c>
      <x:c r="P551" s="8" t="str">
        <x:v>Closed Won</x:v>
      </x:c>
    </x:row>
    <x:row r="552">
      <x:c r="A552" s="8" t="str">
        <x:v>ORD-2025551</x:v>
      </x:c>
      <x:c r="B552" s="9" t="n">
        <x:v>45732</x:v>
      </x:c>
      <x:c r="C552" s="8" t="str">
        <x:v>North</x:v>
      </x:c>
      <x:c r="D552" s="8" t="str">
        <x:v>Emma Martin</x:v>
      </x:c>
      <x:c r="E552" s="8" t="str">
        <x:v>Nova Inc</x:v>
      </x:c>
      <x:c r="F552" s="8" t="str">
        <x:v>Services</x:v>
      </x:c>
      <x:c r="G552" s="8" t="str">
        <x:v>Implementation</x:v>
      </x:c>
      <x:c r="H552" s="10" t="n">
        <x:v>10</x:v>
      </x:c>
      <x:c r="I552" s="11" t="n">
        <x:v>2500</x:v>
      </x:c>
      <x:c r="J552" s="12" t="n">
        <x:v>0</x:v>
      </x:c>
      <x:c r="K552" s="11" t="n">
        <x:f>H552*I552*(1-J552)</x:f>
        <x:v>25000</x:v>
      </x:c>
      <x:c r="L552" s="11" t="n">
        <x:f>H552*(I552*0.62)</x:f>
        <x:v>15500</x:v>
      </x:c>
      <x:c r="M552" s="11" t="n">
        <x:f>K552-L552</x:f>
        <x:v>9500</x:v>
      </x:c>
      <x:c r="N552" s="8" t="str">
        <x:v>Direct</x:v>
      </x:c>
      <x:c r="O552" s="8" t="str">
        <x:v>Credit Card</x:v>
      </x:c>
      <x:c r="P552" s="8" t="str">
        <x:v>Closed Won</x:v>
      </x:c>
    </x:row>
    <x:row r="553">
      <x:c r="A553" s="8" t="str">
        <x:v>ORD-2025552</x:v>
      </x:c>
      <x:c r="B553" s="9" t="n">
        <x:v>46002</x:v>
      </x:c>
      <x:c r="C553" s="8" t="str">
        <x:v>East</x:v>
      </x:c>
      <x:c r="D553" s="8" t="str">
        <x:v>Emma Martin</x:v>
      </x:c>
      <x:c r="E553" s="8" t="str">
        <x:v>Nova LLC</x:v>
      </x:c>
      <x:c r="F553" s="8" t="str">
        <x:v>Hardware</x:v>
      </x:c>
      <x:c r="G553" s="8" t="str">
        <x:v>Tablet Air</x:v>
      </x:c>
      <x:c r="H553" s="10" t="n">
        <x:v>19</x:v>
      </x:c>
      <x:c r="I553" s="11" t="n">
        <x:v>820</x:v>
      </x:c>
      <x:c r="J553" s="12" t="n">
        <x:v>0.2</x:v>
      </x:c>
      <x:c r="K553" s="11" t="n">
        <x:f>H553*I553*(1-J553)</x:f>
        <x:v>12464</x:v>
      </x:c>
      <x:c r="L553" s="11" t="n">
        <x:f>H553*(I553*0.62)</x:f>
        <x:v>9659.6</x:v>
      </x:c>
      <x:c r="M553" s="11" t="n">
        <x:f>K553-L553</x:f>
        <x:v>2804.3999999999996</x:v>
      </x:c>
      <x:c r="N553" s="8" t="str">
        <x:v>Online</x:v>
      </x:c>
      <x:c r="O553" s="8" t="str">
        <x:v>Bank Transfer</x:v>
      </x:c>
      <x:c r="P553" s="8" t="str">
        <x:v>Cancelled</x:v>
      </x:c>
    </x:row>
    <x:row r="554">
      <x:c r="A554" s="8" t="str">
        <x:v>ORD-2025553</x:v>
      </x:c>
      <x:c r="B554" s="9" t="n">
        <x:v>45705</x:v>
      </x:c>
      <x:c r="C554" s="8" t="str">
        <x:v>East</x:v>
      </x:c>
      <x:c r="D554" s="8" t="str">
        <x:v>Sophia Kim</x:v>
      </x:c>
      <x:c r="E554" s="8" t="str">
        <x:v>Harbor Group</x:v>
      </x:c>
      <x:c r="F554" s="8" t="str">
        <x:v>Services</x:v>
      </x:c>
      <x:c r="G554" s="8" t="str">
        <x:v>Implementation</x:v>
      </x:c>
      <x:c r="H554" s="10" t="n">
        <x:v>13</x:v>
      </x:c>
      <x:c r="I554" s="11" t="n">
        <x:v>2500</x:v>
      </x:c>
      <x:c r="J554" s="12" t="n">
        <x:v>0.2</x:v>
      </x:c>
      <x:c r="K554" s="11" t="n">
        <x:f>H554*I554*(1-J554)</x:f>
        <x:v>26000</x:v>
      </x:c>
      <x:c r="L554" s="11" t="n">
        <x:f>H554*(I554*0.62)</x:f>
        <x:v>20150</x:v>
      </x:c>
      <x:c r="M554" s="11" t="n">
        <x:f>K554-L554</x:f>
        <x:v>5850</x:v>
      </x:c>
      <x:c r="N554" s="8" t="str">
        <x:v>Direct</x:v>
      </x:c>
      <x:c r="O554" s="8" t="str">
        <x:v>PayPal</x:v>
      </x:c>
      <x:c r="P554" s="8" t="str">
        <x:v>Returned</x:v>
      </x:c>
    </x:row>
    <x:row r="555">
      <x:c r="A555" s="8" t="str">
        <x:v>ORD-2025554</x:v>
      </x:c>
      <x:c r="B555" s="9" t="n">
        <x:v>45899</x:v>
      </x:c>
      <x:c r="C555" s="8" t="str">
        <x:v>South</x:v>
      </x:c>
      <x:c r="D555" s="8" t="str">
        <x:v>Liam Chen</x:v>
      </x:c>
      <x:c r="E555" s="8" t="str">
        <x:v>Prime Group</x:v>
      </x:c>
      <x:c r="F555" s="8" t="str">
        <x:v>Software</x:v>
      </x:c>
      <x:c r="G555" s="8" t="str">
        <x:v>HR Suite</x:v>
      </x:c>
      <x:c r="H555" s="10" t="n">
        <x:v>11</x:v>
      </x:c>
      <x:c r="I555" s="11" t="n">
        <x:v>950</x:v>
      </x:c>
      <x:c r="J555" s="12" t="n">
        <x:v>0.1</x:v>
      </x:c>
      <x:c r="K555" s="11" t="n">
        <x:f>H555*I555*(1-J555)</x:f>
        <x:v>9405</x:v>
      </x:c>
      <x:c r="L555" s="11" t="n">
        <x:f>H555*(I555*0.62)</x:f>
        <x:v>6479</x:v>
      </x:c>
      <x:c r="M555" s="11" t="n">
        <x:f>K555-L555</x:f>
        <x:v>2926</x:v>
      </x:c>
      <x:c r="N555" s="8" t="str">
        <x:v>Partner</x:v>
      </x:c>
      <x:c r="O555" s="8" t="str">
        <x:v>Bank Transfer</x:v>
      </x:c>
      <x:c r="P555" s="8" t="str">
        <x:v>Shipped</x:v>
      </x:c>
    </x:row>
    <x:row r="556">
      <x:c r="A556" s="8" t="str">
        <x:v>ORD-2025555</x:v>
      </x:c>
      <x:c r="B556" s="9" t="n">
        <x:v>45950</x:v>
      </x:c>
      <x:c r="C556" s="8" t="str">
        <x:v>Central</x:v>
      </x:c>
      <x:c r="D556" s="8" t="str">
        <x:v>Liam Chen</x:v>
      </x:c>
      <x:c r="E556" s="8" t="str">
        <x:v>NorthStar Inc</x:v>
      </x:c>
      <x:c r="F556" s="8" t="str">
        <x:v>Software</x:v>
      </x:c>
      <x:c r="G556" s="8" t="str">
        <x:v>CRM Pro</x:v>
      </x:c>
      <x:c r="H556" s="10" t="n">
        <x:v>24</x:v>
      </x:c>
      <x:c r="I556" s="11" t="n">
        <x:v>1200</x:v>
      </x:c>
      <x:c r="J556" s="12" t="n">
        <x:v>0.15</x:v>
      </x:c>
      <x:c r="K556" s="11" t="n">
        <x:f>H556*I556*(1-J556)</x:f>
        <x:v>24480</x:v>
      </x:c>
      <x:c r="L556" s="11" t="n">
        <x:f>H556*(I556*0.62)</x:f>
        <x:v>17856</x:v>
      </x:c>
      <x:c r="M556" s="11" t="n">
        <x:f>K556-L556</x:f>
        <x:v>6624</x:v>
      </x:c>
      <x:c r="N556" s="8" t="str">
        <x:v>Online</x:v>
      </x:c>
      <x:c r="O556" s="8" t="str">
        <x:v>Invoice</x:v>
      </x:c>
      <x:c r="P556" s="8" t="str">
        <x:v>Closed Won</x:v>
      </x:c>
    </x:row>
    <x:row r="557">
      <x:c r="A557" s="8" t="str">
        <x:v>ORD-2025556</x:v>
      </x:c>
      <x:c r="B557" s="9" t="n">
        <x:v>45927</x:v>
      </x:c>
      <x:c r="C557" s="8" t="str">
        <x:v>Central</x:v>
      </x:c>
      <x:c r="D557" s="8" t="str">
        <x:v>Emma Martin</x:v>
      </x:c>
      <x:c r="E557" s="8" t="str">
        <x:v>Harbor Inc</x:v>
      </x:c>
      <x:c r="F557" s="8" t="str">
        <x:v>Services</x:v>
      </x:c>
      <x:c r="G557" s="8" t="str">
        <x:v>Support Plus</x:v>
      </x:c>
      <x:c r="H557" s="10" t="n">
        <x:v>5</x:v>
      </x:c>
      <x:c r="I557" s="11" t="n">
        <x:v>650</x:v>
      </x:c>
      <x:c r="J557" s="12" t="n">
        <x:v>0.1</x:v>
      </x:c>
      <x:c r="K557" s="11" t="n">
        <x:f>H557*I557*(1-J557)</x:f>
        <x:v>2925</x:v>
      </x:c>
      <x:c r="L557" s="11" t="n">
        <x:f>H557*(I557*0.62)</x:f>
        <x:v>2015</x:v>
      </x:c>
      <x:c r="M557" s="11" t="n">
        <x:f>K557-L557</x:f>
        <x:v>910</x:v>
      </x:c>
      <x:c r="N557" s="8" t="str">
        <x:v>Online</x:v>
      </x:c>
      <x:c r="O557" s="8" t="str">
        <x:v>PayPal</x:v>
      </x:c>
      <x:c r="P557" s="8" t="str">
        <x:v>Pending</x:v>
      </x:c>
    </x:row>
    <x:row r="558">
      <x:c r="A558" s="8" t="str">
        <x:v>ORD-2025557</x:v>
      </x:c>
      <x:c r="B558" s="9" t="n">
        <x:v>45750</x:v>
      </x:c>
      <x:c r="C558" s="8" t="str">
        <x:v>Central</x:v>
      </x:c>
      <x:c r="D558" s="8" t="str">
        <x:v>Mia Johnson</x:v>
      </x:c>
      <x:c r="E558" s="8" t="str">
        <x:v>Vertex Inc</x:v>
      </x:c>
      <x:c r="F558" s="8" t="str">
        <x:v>Accessories</x:v>
      </x:c>
      <x:c r="G558" s="8" t="str">
        <x:v>Headset</x:v>
      </x:c>
      <x:c r="H558" s="10" t="n">
        <x:v>7</x:v>
      </x:c>
      <x:c r="I558" s="11" t="n">
        <x:v>85</x:v>
      </x:c>
      <x:c r="J558" s="12" t="n">
        <x:v>0</x:v>
      </x:c>
      <x:c r="K558" s="11" t="n">
        <x:f>H558*I558*(1-J558)</x:f>
        <x:v>595</x:v>
      </x:c>
      <x:c r="L558" s="11" t="n">
        <x:f>H558*(I558*0.62)</x:f>
        <x:v>368.90000000000003</x:v>
      </x:c>
      <x:c r="M558" s="11" t="n">
        <x:f>K558-L558</x:f>
        <x:v>226.09999999999997</x:v>
      </x:c>
      <x:c r="N558" s="8" t="str">
        <x:v>Direct</x:v>
      </x:c>
      <x:c r="O558" s="8" t="str">
        <x:v>Credit Card</x:v>
      </x:c>
      <x:c r="P558" s="8" t="str">
        <x:v>Pending</x:v>
      </x:c>
    </x:row>
    <x:row r="559">
      <x:c r="A559" s="8" t="str">
        <x:v>ORD-2025558</x:v>
      </x:c>
      <x:c r="B559" s="9" t="n">
        <x:v>45973</x:v>
      </x:c>
      <x:c r="C559" s="8" t="str">
        <x:v>West</x:v>
      </x:c>
      <x:c r="D559" s="8" t="str">
        <x:v>Lucas Brown</x:v>
      </x:c>
      <x:c r="E559" s="8" t="str">
        <x:v>Summit Inc</x:v>
      </x:c>
      <x:c r="F559" s="8" t="str">
        <x:v>Software</x:v>
      </x:c>
      <x:c r="G559" s="8" t="str">
        <x:v>Analytics Cloud</x:v>
      </x:c>
      <x:c r="H559" s="10" t="n">
        <x:v>11</x:v>
      </x:c>
      <x:c r="I559" s="11" t="n">
        <x:v>1800</x:v>
      </x:c>
      <x:c r="J559" s="12" t="n">
        <x:v>0</x:v>
      </x:c>
      <x:c r="K559" s="11" t="n">
        <x:f>H559*I559*(1-J559)</x:f>
        <x:v>19800</x:v>
      </x:c>
      <x:c r="L559" s="11" t="n">
        <x:f>H559*(I559*0.62)</x:f>
        <x:v>12276</x:v>
      </x:c>
      <x:c r="M559" s="11" t="n">
        <x:f>K559-L559</x:f>
        <x:v>7524</x:v>
      </x:c>
      <x:c r="N559" s="8" t="str">
        <x:v>Online</x:v>
      </x:c>
      <x:c r="O559" s="8" t="str">
        <x:v>Bank Transfer</x:v>
      </x:c>
      <x:c r="P559" s="8" t="str">
        <x:v>Closed Won</x:v>
      </x:c>
    </x:row>
    <x:row r="560">
      <x:c r="A560" s="8" t="str">
        <x:v>ORD-2025559</x:v>
      </x:c>
      <x:c r="B560" s="9" t="n">
        <x:v>45788</x:v>
      </x:c>
      <x:c r="C560" s="8" t="str">
        <x:v>North</x:v>
      </x:c>
      <x:c r="D560" s="8" t="str">
        <x:v>Ethan Garcia</x:v>
      </x:c>
      <x:c r="E560" s="8" t="str">
        <x:v>Vertex Co</x:v>
      </x:c>
      <x:c r="F560" s="8" t="str">
        <x:v>Hardware</x:v>
      </x:c>
      <x:c r="G560" s="8" t="str">
        <x:v>Dock Station</x:v>
      </x:c>
      <x:c r="H560" s="10" t="n">
        <x:v>17</x:v>
      </x:c>
      <x:c r="I560" s="11" t="n">
        <x:v>180</x:v>
      </x:c>
      <x:c r="J560" s="12" t="n">
        <x:v>0.1</x:v>
      </x:c>
      <x:c r="K560" s="11" t="n">
        <x:f>H560*I560*(1-J560)</x:f>
        <x:v>2754</x:v>
      </x:c>
      <x:c r="L560" s="11" t="n">
        <x:f>H560*(I560*0.62)</x:f>
        <x:v>1897.1999999999998</x:v>
      </x:c>
      <x:c r="M560" s="11" t="n">
        <x:f>K560-L560</x:f>
        <x:v>856.8000000000002</x:v>
      </x:c>
      <x:c r="N560" s="8" t="str">
        <x:v>Partner</x:v>
      </x:c>
      <x:c r="O560" s="8" t="str">
        <x:v>Credit Card</x:v>
      </x:c>
      <x:c r="P560" s="8" t="str">
        <x:v>Closed Won</x:v>
      </x:c>
    </x:row>
    <x:row r="561">
      <x:c r="A561" s="8" t="str">
        <x:v>ORD-2025560</x:v>
      </x:c>
      <x:c r="B561" s="9" t="n">
        <x:v>45860</x:v>
      </x:c>
      <x:c r="C561" s="8" t="str">
        <x:v>Central</x:v>
      </x:c>
      <x:c r="D561" s="8" t="str">
        <x:v>Emma Martin</x:v>
      </x:c>
      <x:c r="E561" s="8" t="str">
        <x:v>Acme Group</x:v>
      </x:c>
      <x:c r="F561" s="8" t="str">
        <x:v>Services</x:v>
      </x:c>
      <x:c r="G561" s="8" t="str">
        <x:v>Support Plus</x:v>
      </x:c>
      <x:c r="H561" s="10" t="n">
        <x:v>6</x:v>
      </x:c>
      <x:c r="I561" s="11" t="n">
        <x:v>650</x:v>
      </x:c>
      <x:c r="J561" s="12" t="n">
        <x:v>0</x:v>
      </x:c>
      <x:c r="K561" s="11" t="n">
        <x:f>H561*I561*(1-J561)</x:f>
        <x:v>3900</x:v>
      </x:c>
      <x:c r="L561" s="11" t="n">
        <x:f>H561*(I561*0.62)</x:f>
        <x:v>2418</x:v>
      </x:c>
      <x:c r="M561" s="11" t="n">
        <x:f>K561-L561</x:f>
        <x:v>1482</x:v>
      </x:c>
      <x:c r="N561" s="8" t="str">
        <x:v>Partner</x:v>
      </x:c>
      <x:c r="O561" s="8" t="str">
        <x:v>Invoice</x:v>
      </x:c>
      <x:c r="P561" s="8" t="str">
        <x:v>Cancelled</x:v>
      </x:c>
    </x:row>
    <x:row r="562">
      <x:c r="A562" s="8" t="str">
        <x:v>ORD-2025561</x:v>
      </x:c>
      <x:c r="B562" s="9" t="n">
        <x:v>45676</x:v>
      </x:c>
      <x:c r="C562" s="8" t="str">
        <x:v>South</x:v>
      </x:c>
      <x:c r="D562" s="8" t="str">
        <x:v>Olivia Wilson</x:v>
      </x:c>
      <x:c r="E562" s="8" t="str">
        <x:v>Urban Group</x:v>
      </x:c>
      <x:c r="F562" s="8" t="str">
        <x:v>Accessories</x:v>
      </x:c>
      <x:c r="G562" s="8" t="str">
        <x:v>Headset</x:v>
      </x:c>
      <x:c r="H562" s="10" t="n">
        <x:v>21</x:v>
      </x:c>
      <x:c r="I562" s="11" t="n">
        <x:v>85</x:v>
      </x:c>
      <x:c r="J562" s="12" t="n">
        <x:v>0.05</x:v>
      </x:c>
      <x:c r="K562" s="11" t="n">
        <x:f>H562*I562*(1-J562)</x:f>
        <x:v>1695.75</x:v>
      </x:c>
      <x:c r="L562" s="11" t="n">
        <x:f>H562*(I562*0.62)</x:f>
        <x:v>1106.7</x:v>
      </x:c>
      <x:c r="M562" s="11" t="n">
        <x:f>K562-L562</x:f>
        <x:v>589.05</x:v>
      </x:c>
      <x:c r="N562" s="8" t="str">
        <x:v>Online</x:v>
      </x:c>
      <x:c r="O562" s="8" t="str">
        <x:v>Invoice</x:v>
      </x:c>
      <x:c r="P562" s="8" t="str">
        <x:v>Pending</x:v>
      </x:c>
    </x:row>
    <x:row r="563">
      <x:c r="A563" s="8" t="str">
        <x:v>ORD-2025562</x:v>
      </x:c>
      <x:c r="B563" s="9" t="n">
        <x:v>45924</x:v>
      </x:c>
      <x:c r="C563" s="8" t="str">
        <x:v>East</x:v>
      </x:c>
      <x:c r="D563" s="8" t="str">
        <x:v>Emma Martin</x:v>
      </x:c>
      <x:c r="E563" s="8" t="str">
        <x:v>BrightPath LLC</x:v>
      </x:c>
      <x:c r="F563" s="8" t="str">
        <x:v>Accessories</x:v>
      </x:c>
      <x:c r="G563" s="8" t="str">
        <x:v>Wireless Mouse</x:v>
      </x:c>
      <x:c r="H563" s="10" t="n">
        <x:v>18</x:v>
      </x:c>
      <x:c r="I563" s="11" t="n">
        <x:v>40</x:v>
      </x:c>
      <x:c r="J563" s="12" t="n">
        <x:v>0.1</x:v>
      </x:c>
      <x:c r="K563" s="11" t="n">
        <x:f>H563*I563*(1-J563)</x:f>
        <x:v>648</x:v>
      </x:c>
      <x:c r="L563" s="11" t="n">
        <x:f>H563*(I563*0.62)</x:f>
        <x:v>446.40000000000003</x:v>
      </x:c>
      <x:c r="M563" s="11" t="n">
        <x:f>K563-L563</x:f>
        <x:v>201.59999999999997</x:v>
      </x:c>
      <x:c r="N563" s="8" t="str">
        <x:v>Direct</x:v>
      </x:c>
      <x:c r="O563" s="8" t="str">
        <x:v>Bank Transfer</x:v>
      </x:c>
      <x:c r="P563" s="8" t="str">
        <x:v>Shipped</x:v>
      </x:c>
    </x:row>
    <x:row r="564">
      <x:c r="A564" s="8" t="str">
        <x:v>ORD-2025563</x:v>
      </x:c>
      <x:c r="B564" s="9" t="n">
        <x:v>45691</x:v>
      </x:c>
      <x:c r="C564" s="8" t="str">
        <x:v>South</x:v>
      </x:c>
      <x:c r="D564" s="8" t="str">
        <x:v>Ethan Garcia</x:v>
      </x:c>
      <x:c r="E564" s="8" t="str">
        <x:v>Acme Group</x:v>
      </x:c>
      <x:c r="F564" s="8" t="str">
        <x:v>Services</x:v>
      </x:c>
      <x:c r="G564" s="8" t="str">
        <x:v>Support Plus</x:v>
      </x:c>
      <x:c r="H564" s="10" t="n">
        <x:v>11</x:v>
      </x:c>
      <x:c r="I564" s="11" t="n">
        <x:v>650</x:v>
      </x:c>
      <x:c r="J564" s="12" t="n">
        <x:v>0.05</x:v>
      </x:c>
      <x:c r="K564" s="11" t="n">
        <x:f>H564*I564*(1-J564)</x:f>
        <x:v>6792.5</x:v>
      </x:c>
      <x:c r="L564" s="11" t="n">
        <x:f>H564*(I564*0.62)</x:f>
        <x:v>4433</x:v>
      </x:c>
      <x:c r="M564" s="11" t="n">
        <x:f>K564-L564</x:f>
        <x:v>2359.5</x:v>
      </x:c>
      <x:c r="N564" s="8" t="str">
        <x:v>Online</x:v>
      </x:c>
      <x:c r="O564" s="8" t="str">
        <x:v>Bank Transfer</x:v>
      </x:c>
      <x:c r="P564" s="8" t="str">
        <x:v>Shipped</x:v>
      </x:c>
    </x:row>
    <x:row r="565">
      <x:c r="A565" s="8" t="str">
        <x:v>ORD-2025564</x:v>
      </x:c>
      <x:c r="B565" s="9" t="n">
        <x:v>45962</x:v>
      </x:c>
      <x:c r="C565" s="8" t="str">
        <x:v>North</x:v>
      </x:c>
      <x:c r="D565" s="8" t="str">
        <x:v>Ethan Garcia</x:v>
      </x:c>
      <x:c r="E565" s="8" t="str">
        <x:v>BrightPath LLC</x:v>
      </x:c>
      <x:c r="F565" s="8" t="str">
        <x:v>Accessories</x:v>
      </x:c>
      <x:c r="G565" s="8" t="str">
        <x:v>Keyboard Pro</x:v>
      </x:c>
      <x:c r="H565" s="10" t="n">
        <x:v>23</x:v>
      </x:c>
      <x:c r="I565" s="11" t="n">
        <x:v>95</x:v>
      </x:c>
      <x:c r="J565" s="12" t="n">
        <x:v>0</x:v>
      </x:c>
      <x:c r="K565" s="11" t="n">
        <x:f>H565*I565*(1-J565)</x:f>
        <x:v>2185</x:v>
      </x:c>
      <x:c r="L565" s="11" t="n">
        <x:f>H565*(I565*0.62)</x:f>
        <x:v>1354.7</x:v>
      </x:c>
      <x:c r="M565" s="11" t="n">
        <x:f>K565-L565</x:f>
        <x:v>830.3</x:v>
      </x:c>
      <x:c r="N565" s="8" t="str">
        <x:v>Partner</x:v>
      </x:c>
      <x:c r="O565" s="8" t="str">
        <x:v>PayPal</x:v>
      </x:c>
      <x:c r="P565" s="8" t="str">
        <x:v>Closed Won</x:v>
      </x:c>
    </x:row>
    <x:row r="566">
      <x:c r="A566" s="8" t="str">
        <x:v>ORD-2025565</x:v>
      </x:c>
      <x:c r="B566" s="9" t="n">
        <x:v>45889</x:v>
      </x:c>
      <x:c r="C566" s="8" t="str">
        <x:v>East</x:v>
      </x:c>
      <x:c r="D566" s="8" t="str">
        <x:v>Mia Johnson</x:v>
      </x:c>
      <x:c r="E566" s="8" t="str">
        <x:v>Southridge Group</x:v>
      </x:c>
      <x:c r="F566" s="8" t="str">
        <x:v>Hardware</x:v>
      </x:c>
      <x:c r="G566" s="8" t="str">
        <x:v>Dock Station</x:v>
      </x:c>
      <x:c r="H566" s="10" t="n">
        <x:v>10</x:v>
      </x:c>
      <x:c r="I566" s="11" t="n">
        <x:v>180</x:v>
      </x:c>
      <x:c r="J566" s="12" t="n">
        <x:v>0</x:v>
      </x:c>
      <x:c r="K566" s="11" t="n">
        <x:f>H566*I566*(1-J566)</x:f>
        <x:v>1800</x:v>
      </x:c>
      <x:c r="L566" s="11" t="n">
        <x:f>H566*(I566*0.62)</x:f>
        <x:v>1116</x:v>
      </x:c>
      <x:c r="M566" s="11" t="n">
        <x:f>K566-L566</x:f>
        <x:v>684</x:v>
      </x:c>
      <x:c r="N566" s="8" t="str">
        <x:v>Direct</x:v>
      </x:c>
      <x:c r="O566" s="8" t="str">
        <x:v>Invoice</x:v>
      </x:c>
      <x:c r="P566" s="8" t="str">
        <x:v>Shipped</x:v>
      </x:c>
    </x:row>
    <x:row r="567">
      <x:c r="A567" s="8" t="str">
        <x:v>ORD-2025566</x:v>
      </x:c>
      <x:c r="B567" s="9" t="n">
        <x:v>45885</x:v>
      </x:c>
      <x:c r="C567" s="8" t="str">
        <x:v>Central</x:v>
      </x:c>
      <x:c r="D567" s="8" t="str">
        <x:v>Ava Patel</x:v>
      </x:c>
      <x:c r="E567" s="8" t="str">
        <x:v>NorthStar Inc</x:v>
      </x:c>
      <x:c r="F567" s="8" t="str">
        <x:v>Hardware</x:v>
      </x:c>
      <x:c r="G567" s="8" t="str">
        <x:v>Laptop X</x:v>
      </x:c>
      <x:c r="H567" s="10" t="n">
        <x:v>17</x:v>
      </x:c>
      <x:c r="I567" s="11" t="n">
        <x:v>1500</x:v>
      </x:c>
      <x:c r="J567" s="12" t="n">
        <x:v>0</x:v>
      </x:c>
      <x:c r="K567" s="11" t="n">
        <x:f>H567*I567*(1-J567)</x:f>
        <x:v>25500</x:v>
      </x:c>
      <x:c r="L567" s="11" t="n">
        <x:f>H567*(I567*0.62)</x:f>
        <x:v>15810</x:v>
      </x:c>
      <x:c r="M567" s="11" t="n">
        <x:f>K567-L567</x:f>
        <x:v>9690</x:v>
      </x:c>
      <x:c r="N567" s="8" t="str">
        <x:v>Direct</x:v>
      </x:c>
      <x:c r="O567" s="8" t="str">
        <x:v>Invoice</x:v>
      </x:c>
      <x:c r="P567" s="8" t="str">
        <x:v>Cancelled</x:v>
      </x:c>
    </x:row>
    <x:row r="568">
      <x:c r="A568" s="8" t="str">
        <x:v>ORD-2025567</x:v>
      </x:c>
      <x:c r="B568" s="9" t="n">
        <x:v>45731</x:v>
      </x:c>
      <x:c r="C568" s="8" t="str">
        <x:v>North</x:v>
      </x:c>
      <x:c r="D568" s="8" t="str">
        <x:v>Mason Lee</x:v>
      </x:c>
      <x:c r="E568" s="8" t="str">
        <x:v>Urban LLC</x:v>
      </x:c>
      <x:c r="F568" s="8" t="str">
        <x:v>Services</x:v>
      </x:c>
      <x:c r="G568" s="8" t="str">
        <x:v>Support Plus</x:v>
      </x:c>
      <x:c r="H568" s="10" t="n">
        <x:v>7</x:v>
      </x:c>
      <x:c r="I568" s="11" t="n">
        <x:v>650</x:v>
      </x:c>
      <x:c r="J568" s="12" t="n">
        <x:v>0.15</x:v>
      </x:c>
      <x:c r="K568" s="11" t="n">
        <x:f>H568*I568*(1-J568)</x:f>
        <x:v>3867.5</x:v>
      </x:c>
      <x:c r="L568" s="11" t="n">
        <x:f>H568*(I568*0.62)</x:f>
        <x:v>2821</x:v>
      </x:c>
      <x:c r="M568" s="11" t="n">
        <x:f>K568-L568</x:f>
        <x:v>1046.5</x:v>
      </x:c>
      <x:c r="N568" s="8" t="str">
        <x:v>Direct</x:v>
      </x:c>
      <x:c r="O568" s="8" t="str">
        <x:v>PayPal</x:v>
      </x:c>
      <x:c r="P568" s="8" t="str">
        <x:v>Closed Won</x:v>
      </x:c>
    </x:row>
    <x:row r="569">
      <x:c r="A569" s="8" t="str">
        <x:v>ORD-2025568</x:v>
      </x:c>
      <x:c r="B569" s="9" t="n">
        <x:v>45817</x:v>
      </x:c>
      <x:c r="C569" s="8" t="str">
        <x:v>North</x:v>
      </x:c>
      <x:c r="D569" s="8" t="str">
        <x:v>Emma Martin</x:v>
      </x:c>
      <x:c r="E569" s="8" t="str">
        <x:v>BlueSky Group</x:v>
      </x:c>
      <x:c r="F569" s="8" t="str">
        <x:v>Software</x:v>
      </x:c>
      <x:c r="G569" s="8" t="str">
        <x:v>CRM Pro</x:v>
      </x:c>
      <x:c r="H569" s="10" t="n">
        <x:v>11</x:v>
      </x:c>
      <x:c r="I569" s="11" t="n">
        <x:v>1200</x:v>
      </x:c>
      <x:c r="J569" s="12" t="n">
        <x:v>0.05</x:v>
      </x:c>
      <x:c r="K569" s="11" t="n">
        <x:f>H569*I569*(1-J569)</x:f>
        <x:v>12540</x:v>
      </x:c>
      <x:c r="L569" s="11" t="n">
        <x:f>H569*(I569*0.62)</x:f>
        <x:v>8184</x:v>
      </x:c>
      <x:c r="M569" s="11" t="n">
        <x:f>K569-L569</x:f>
        <x:v>4356</x:v>
      </x:c>
      <x:c r="N569" s="8" t="str">
        <x:v>Direct</x:v>
      </x:c>
      <x:c r="O569" s="8" t="str">
        <x:v>Credit Card</x:v>
      </x:c>
      <x:c r="P569" s="8" t="str">
        <x:v>Pending</x:v>
      </x:c>
    </x:row>
    <x:row r="570">
      <x:c r="A570" s="8" t="str">
        <x:v>ORD-2025569</x:v>
      </x:c>
      <x:c r="B570" s="9" t="n">
        <x:v>45953</x:v>
      </x:c>
      <x:c r="C570" s="8" t="str">
        <x:v>East</x:v>
      </x:c>
      <x:c r="D570" s="8" t="str">
        <x:v>Mia Johnson</x:v>
      </x:c>
      <x:c r="E570" s="8" t="str">
        <x:v>BrightPath Inc</x:v>
      </x:c>
      <x:c r="F570" s="8" t="str">
        <x:v>Services</x:v>
      </x:c>
      <x:c r="G570" s="8" t="str">
        <x:v>Implementation</x:v>
      </x:c>
      <x:c r="H570" s="10" t="n">
        <x:v>7</x:v>
      </x:c>
      <x:c r="I570" s="11" t="n">
        <x:v>2500</x:v>
      </x:c>
      <x:c r="J570" s="12" t="n">
        <x:v>0</x:v>
      </x:c>
      <x:c r="K570" s="11" t="n">
        <x:f>H570*I570*(1-J570)</x:f>
        <x:v>17500</x:v>
      </x:c>
      <x:c r="L570" s="11" t="n">
        <x:f>H570*(I570*0.62)</x:f>
        <x:v>10850</x:v>
      </x:c>
      <x:c r="M570" s="11" t="n">
        <x:f>K570-L570</x:f>
        <x:v>6650</x:v>
      </x:c>
      <x:c r="N570" s="8" t="str">
        <x:v>Partner</x:v>
      </x:c>
      <x:c r="O570" s="8" t="str">
        <x:v>Invoice</x:v>
      </x:c>
      <x:c r="P570" s="8" t="str">
        <x:v>Pending</x:v>
      </x:c>
    </x:row>
    <x:row r="571">
      <x:c r="A571" s="8" t="str">
        <x:v>ORD-2025570</x:v>
      </x:c>
      <x:c r="B571" s="9" t="n">
        <x:v>45797</x:v>
      </x:c>
      <x:c r="C571" s="8" t="str">
        <x:v>South</x:v>
      </x:c>
      <x:c r="D571" s="8" t="str">
        <x:v>Noah Davis</x:v>
      </x:c>
      <x:c r="E571" s="8" t="str">
        <x:v>Prime Group</x:v>
      </x:c>
      <x:c r="F571" s="8" t="str">
        <x:v>Accessories</x:v>
      </x:c>
      <x:c r="G571" s="8" t="str">
        <x:v>Wireless Mouse</x:v>
      </x:c>
      <x:c r="H571" s="10" t="n">
        <x:v>4</x:v>
      </x:c>
      <x:c r="I571" s="11" t="n">
        <x:v>40</x:v>
      </x:c>
      <x:c r="J571" s="12" t="n">
        <x:v>0</x:v>
      </x:c>
      <x:c r="K571" s="11" t="n">
        <x:f>H571*I571*(1-J571)</x:f>
        <x:v>160</x:v>
      </x:c>
      <x:c r="L571" s="11" t="n">
        <x:f>H571*(I571*0.62)</x:f>
        <x:v>99.2</x:v>
      </x:c>
      <x:c r="M571" s="11" t="n">
        <x:f>K571-L571</x:f>
        <x:v>60.8</x:v>
      </x:c>
      <x:c r="N571" s="8" t="str">
        <x:v>Online</x:v>
      </x:c>
      <x:c r="O571" s="8" t="str">
        <x:v>Credit Card</x:v>
      </x:c>
      <x:c r="P571" s="8" t="str">
        <x:v>Closed Won</x:v>
      </x:c>
    </x:row>
    <x:row r="572">
      <x:c r="A572" s="8" t="str">
        <x:v>ORD-2025571</x:v>
      </x:c>
      <x:c r="B572" s="9" t="n">
        <x:v>45796</x:v>
      </x:c>
      <x:c r="C572" s="8" t="str">
        <x:v>South</x:v>
      </x:c>
      <x:c r="D572" s="8" t="str">
        <x:v>Ethan Garcia</x:v>
      </x:c>
      <x:c r="E572" s="8" t="str">
        <x:v>Ironwood Inc</x:v>
      </x:c>
      <x:c r="F572" s="8" t="str">
        <x:v>Services</x:v>
      </x:c>
      <x:c r="G572" s="8" t="str">
        <x:v>Support Plus</x:v>
      </x:c>
      <x:c r="H572" s="10" t="n">
        <x:v>8</x:v>
      </x:c>
      <x:c r="I572" s="11" t="n">
        <x:v>650</x:v>
      </x:c>
      <x:c r="J572" s="12" t="n">
        <x:v>0</x:v>
      </x:c>
      <x:c r="K572" s="11" t="n">
        <x:f>H572*I572*(1-J572)</x:f>
        <x:v>5200</x:v>
      </x:c>
      <x:c r="L572" s="11" t="n">
        <x:f>H572*(I572*0.62)</x:f>
        <x:v>3224</x:v>
      </x:c>
      <x:c r="M572" s="11" t="n">
        <x:f>K572-L572</x:f>
        <x:v>1976</x:v>
      </x:c>
      <x:c r="N572" s="8" t="str">
        <x:v>Direct</x:v>
      </x:c>
      <x:c r="O572" s="8" t="str">
        <x:v>Invoice</x:v>
      </x:c>
      <x:c r="P572" s="8" t="str">
        <x:v>Shipped</x:v>
      </x:c>
    </x:row>
    <x:row r="573">
      <x:c r="A573" s="8" t="str">
        <x:v>ORD-2025572</x:v>
      </x:c>
      <x:c r="B573" s="9" t="n">
        <x:v>45683</x:v>
      </x:c>
      <x:c r="C573" s="8" t="str">
        <x:v>South</x:v>
      </x:c>
      <x:c r="D573" s="8" t="str">
        <x:v>Ava Patel</x:v>
      </x:c>
      <x:c r="E573" s="8" t="str">
        <x:v>NorthStar LLC</x:v>
      </x:c>
      <x:c r="F573" s="8" t="str">
        <x:v>Services</x:v>
      </x:c>
      <x:c r="G573" s="8" t="str">
        <x:v>Consulting Day</x:v>
      </x:c>
      <x:c r="H573" s="10" t="n">
        <x:v>22</x:v>
      </x:c>
      <x:c r="I573" s="11" t="n">
        <x:v>1400</x:v>
      </x:c>
      <x:c r="J573" s="12" t="n">
        <x:v>0</x:v>
      </x:c>
      <x:c r="K573" s="11" t="n">
        <x:f>H573*I573*(1-J573)</x:f>
        <x:v>30800</x:v>
      </x:c>
      <x:c r="L573" s="11" t="n">
        <x:f>H573*(I573*0.62)</x:f>
        <x:v>19096</x:v>
      </x:c>
      <x:c r="M573" s="11" t="n">
        <x:f>K573-L573</x:f>
        <x:v>11704</x:v>
      </x:c>
      <x:c r="N573" s="8" t="str">
        <x:v>Direct</x:v>
      </x:c>
      <x:c r="O573" s="8" t="str">
        <x:v>PayPal</x:v>
      </x:c>
      <x:c r="P573" s="8" t="str">
        <x:v>Closed Won</x:v>
      </x:c>
    </x:row>
    <x:row r="574">
      <x:c r="A574" s="8" t="str">
        <x:v>ORD-2025573</x:v>
      </x:c>
      <x:c r="B574" s="9" t="n">
        <x:v>45749</x:v>
      </x:c>
      <x:c r="C574" s="8" t="str">
        <x:v>Central</x:v>
      </x:c>
      <x:c r="D574" s="8" t="str">
        <x:v>Emma Martin</x:v>
      </x:c>
      <x:c r="E574" s="8" t="str">
        <x:v>GoldenGate Inc</x:v>
      </x:c>
      <x:c r="F574" s="8" t="str">
        <x:v>Accessories</x:v>
      </x:c>
      <x:c r="G574" s="8" t="str">
        <x:v>Headset</x:v>
      </x:c>
      <x:c r="H574" s="10" t="n">
        <x:v>20</x:v>
      </x:c>
      <x:c r="I574" s="11" t="n">
        <x:v>85</x:v>
      </x:c>
      <x:c r="J574" s="12" t="n">
        <x:v>0</x:v>
      </x:c>
      <x:c r="K574" s="11" t="n">
        <x:f>H574*I574*(1-J574)</x:f>
        <x:v>1700</x:v>
      </x:c>
      <x:c r="L574" s="11" t="n">
        <x:f>H574*(I574*0.62)</x:f>
        <x:v>1054</x:v>
      </x:c>
      <x:c r="M574" s="11" t="n">
        <x:f>K574-L574</x:f>
        <x:v>646</x:v>
      </x:c>
      <x:c r="N574" s="8" t="str">
        <x:v>Partner</x:v>
      </x:c>
      <x:c r="O574" s="8" t="str">
        <x:v>Invoice</x:v>
      </x:c>
      <x:c r="P574" s="8" t="str">
        <x:v>Returned</x:v>
      </x:c>
    </x:row>
    <x:row r="575">
      <x:c r="A575" s="8" t="str">
        <x:v>ORD-2025574</x:v>
      </x:c>
      <x:c r="B575" s="9" t="n">
        <x:v>45948</x:v>
      </x:c>
      <x:c r="C575" s="8" t="str">
        <x:v>South</x:v>
      </x:c>
      <x:c r="D575" s="8" t="str">
        <x:v>Liam Chen</x:v>
      </x:c>
      <x:c r="E575" s="8" t="str">
        <x:v>GoldenGate Group</x:v>
      </x:c>
      <x:c r="F575" s="8" t="str">
        <x:v>Software</x:v>
      </x:c>
      <x:c r="G575" s="8" t="str">
        <x:v>ProjectFlow</x:v>
      </x:c>
      <x:c r="H575" s="10" t="n">
        <x:v>4</x:v>
      </x:c>
      <x:c r="I575" s="11" t="n">
        <x:v>700</x:v>
      </x:c>
      <x:c r="J575" s="12" t="n">
        <x:v>0.05</x:v>
      </x:c>
      <x:c r="K575" s="11" t="n">
        <x:f>H575*I575*(1-J575)</x:f>
        <x:v>2660</x:v>
      </x:c>
      <x:c r="L575" s="11" t="n">
        <x:f>H575*(I575*0.62)</x:f>
        <x:v>1736</x:v>
      </x:c>
      <x:c r="M575" s="11" t="n">
        <x:f>K575-L575</x:f>
        <x:v>924</x:v>
      </x:c>
      <x:c r="N575" s="8" t="str">
        <x:v>Partner</x:v>
      </x:c>
      <x:c r="O575" s="8" t="str">
        <x:v>PayPal</x:v>
      </x:c>
      <x:c r="P575" s="8" t="str">
        <x:v>Pending</x:v>
      </x:c>
    </x:row>
    <x:row r="576">
      <x:c r="A576" s="8" t="str">
        <x:v>ORD-2025575</x:v>
      </x:c>
      <x:c r="B576" s="9" t="n">
        <x:v>45973</x:v>
      </x:c>
      <x:c r="C576" s="8" t="str">
        <x:v>East</x:v>
      </x:c>
      <x:c r="D576" s="8" t="str">
        <x:v>Sophia Kim</x:v>
      </x:c>
      <x:c r="E576" s="8" t="str">
        <x:v>SilverLine Co</x:v>
      </x:c>
      <x:c r="F576" s="8" t="str">
        <x:v>Hardware</x:v>
      </x:c>
      <x:c r="G576" s="8" t="str">
        <x:v>Tablet Air</x:v>
      </x:c>
      <x:c r="H576" s="10" t="n">
        <x:v>6</x:v>
      </x:c>
      <x:c r="I576" s="11" t="n">
        <x:v>820</x:v>
      </x:c>
      <x:c r="J576" s="12" t="n">
        <x:v>0.15</x:v>
      </x:c>
      <x:c r="K576" s="11" t="n">
        <x:f>H576*I576*(1-J576)</x:f>
        <x:v>4182</x:v>
      </x:c>
      <x:c r="L576" s="11" t="n">
        <x:f>H576*(I576*0.62)</x:f>
        <x:v>3050.3999999999996</x:v>
      </x:c>
      <x:c r="M576" s="11" t="n">
        <x:f>K576-L576</x:f>
        <x:v>1131.6000000000004</x:v>
      </x:c>
      <x:c r="N576" s="8" t="str">
        <x:v>Online</x:v>
      </x:c>
      <x:c r="O576" s="8" t="str">
        <x:v>Invoice</x:v>
      </x:c>
      <x:c r="P576" s="8" t="str">
        <x:v>Shipped</x:v>
      </x:c>
    </x:row>
    <x:row r="577">
      <x:c r="A577" s="8" t="str">
        <x:v>ORD-2025576</x:v>
      </x:c>
      <x:c r="B577" s="9" t="n">
        <x:v>45907</x:v>
      </x:c>
      <x:c r="C577" s="8" t="str">
        <x:v>North</x:v>
      </x:c>
      <x:c r="D577" s="8" t="str">
        <x:v>Liam Chen</x:v>
      </x:c>
      <x:c r="E577" s="8" t="str">
        <x:v>NorthStar LLC</x:v>
      </x:c>
      <x:c r="F577" s="8" t="str">
        <x:v>Services</x:v>
      </x:c>
      <x:c r="G577" s="8" t="str">
        <x:v>Consulting Day</x:v>
      </x:c>
      <x:c r="H577" s="10" t="n">
        <x:v>4</x:v>
      </x:c>
      <x:c r="I577" s="11" t="n">
        <x:v>1400</x:v>
      </x:c>
      <x:c r="J577" s="12" t="n">
        <x:v>0</x:v>
      </x:c>
      <x:c r="K577" s="11" t="n">
        <x:f>H577*I577*(1-J577)</x:f>
        <x:v>5600</x:v>
      </x:c>
      <x:c r="L577" s="11" t="n">
        <x:f>H577*(I577*0.62)</x:f>
        <x:v>3472</x:v>
      </x:c>
      <x:c r="M577" s="11" t="n">
        <x:f>K577-L577</x:f>
        <x:v>2128</x:v>
      </x:c>
      <x:c r="N577" s="8" t="str">
        <x:v>Partner</x:v>
      </x:c>
      <x:c r="O577" s="8" t="str">
        <x:v>PayPal</x:v>
      </x:c>
      <x:c r="P577" s="8" t="str">
        <x:v>Returned</x:v>
      </x:c>
    </x:row>
    <x:row r="578">
      <x:c r="A578" s="8" t="str">
        <x:v>ORD-2025577</x:v>
      </x:c>
      <x:c r="B578" s="9" t="n">
        <x:v>45967</x:v>
      </x:c>
      <x:c r="C578" s="8" t="str">
        <x:v>Central</x:v>
      </x:c>
      <x:c r="D578" s="8" t="str">
        <x:v>Noah Davis</x:v>
      </x:c>
      <x:c r="E578" s="8" t="str">
        <x:v>Southridge Inc</x:v>
      </x:c>
      <x:c r="F578" s="8" t="str">
        <x:v>Services</x:v>
      </x:c>
      <x:c r="G578" s="8" t="str">
        <x:v>Support Plus</x:v>
      </x:c>
      <x:c r="H578" s="10" t="n">
        <x:v>4</x:v>
      </x:c>
      <x:c r="I578" s="11" t="n">
        <x:v>650</x:v>
      </x:c>
      <x:c r="J578" s="12" t="n">
        <x:v>0.05</x:v>
      </x:c>
      <x:c r="K578" s="11" t="n">
        <x:f>H578*I578*(1-J578)</x:f>
        <x:v>2470</x:v>
      </x:c>
      <x:c r="L578" s="11" t="n">
        <x:f>H578*(I578*0.62)</x:f>
        <x:v>1612</x:v>
      </x:c>
      <x:c r="M578" s="11" t="n">
        <x:f>K578-L578</x:f>
        <x:v>858</x:v>
      </x:c>
      <x:c r="N578" s="8" t="str">
        <x:v>Online</x:v>
      </x:c>
      <x:c r="O578" s="8" t="str">
        <x:v>Credit Card</x:v>
      </x:c>
      <x:c r="P578" s="8" t="str">
        <x:v>Closed Won</x:v>
      </x:c>
    </x:row>
    <x:row r="579">
      <x:c r="A579" s="8" t="str">
        <x:v>ORD-2025578</x:v>
      </x:c>
      <x:c r="B579" s="9" t="n">
        <x:v>45930</x:v>
      </x:c>
      <x:c r="C579" s="8" t="str">
        <x:v>West</x:v>
      </x:c>
      <x:c r="D579" s="8" t="str">
        <x:v>Lucas Brown</x:v>
      </x:c>
      <x:c r="E579" s="8" t="str">
        <x:v>Ironwood Group</x:v>
      </x:c>
      <x:c r="F579" s="8" t="str">
        <x:v>Software</x:v>
      </x:c>
      <x:c r="G579" s="8" t="str">
        <x:v>HR Suite</x:v>
      </x:c>
      <x:c r="H579" s="10" t="n">
        <x:v>14</x:v>
      </x:c>
      <x:c r="I579" s="11" t="n">
        <x:v>950</x:v>
      </x:c>
      <x:c r="J579" s="12" t="n">
        <x:v>0</x:v>
      </x:c>
      <x:c r="K579" s="11" t="n">
        <x:f>H579*I579*(1-J579)</x:f>
        <x:v>13300</x:v>
      </x:c>
      <x:c r="L579" s="11" t="n">
        <x:f>H579*(I579*0.62)</x:f>
        <x:v>8246</x:v>
      </x:c>
      <x:c r="M579" s="11" t="n">
        <x:f>K579-L579</x:f>
        <x:v>5054</x:v>
      </x:c>
      <x:c r="N579" s="8" t="str">
        <x:v>Online</x:v>
      </x:c>
      <x:c r="O579" s="8" t="str">
        <x:v>Bank Transfer</x:v>
      </x:c>
      <x:c r="P579" s="8" t="str">
        <x:v>Pending</x:v>
      </x:c>
    </x:row>
    <x:row r="580">
      <x:c r="A580" s="8" t="str">
        <x:v>ORD-2025579</x:v>
      </x:c>
      <x:c r="B580" s="9" t="n">
        <x:v>45691</x:v>
      </x:c>
      <x:c r="C580" s="8" t="str">
        <x:v>East</x:v>
      </x:c>
      <x:c r="D580" s="8" t="str">
        <x:v>Mia Johnson</x:v>
      </x:c>
      <x:c r="E580" s="8" t="str">
        <x:v>Ironwood Group</x:v>
      </x:c>
      <x:c r="F580" s="8" t="str">
        <x:v>Accessories</x:v>
      </x:c>
      <x:c r="G580" s="8" t="str">
        <x:v>Headset</x:v>
      </x:c>
      <x:c r="H580" s="10" t="n">
        <x:v>14</x:v>
      </x:c>
      <x:c r="I580" s="11" t="n">
        <x:v>85</x:v>
      </x:c>
      <x:c r="J580" s="12" t="n">
        <x:v>0.2</x:v>
      </x:c>
      <x:c r="K580" s="11" t="n">
        <x:f>H580*I580*(1-J580)</x:f>
        <x:v>952</x:v>
      </x:c>
      <x:c r="L580" s="11" t="n">
        <x:f>H580*(I580*0.62)</x:f>
        <x:v>737.8000000000001</x:v>
      </x:c>
      <x:c r="M580" s="11" t="n">
        <x:f>K580-L580</x:f>
        <x:v>214.19999999999993</x:v>
      </x:c>
      <x:c r="N580" s="8" t="str">
        <x:v>Partner</x:v>
      </x:c>
      <x:c r="O580" s="8" t="str">
        <x:v>Invoice</x:v>
      </x:c>
      <x:c r="P580" s="8" t="str">
        <x:v>Pending</x:v>
      </x:c>
    </x:row>
    <x:row r="581">
      <x:c r="A581" s="8" t="str">
        <x:v>ORD-2025580</x:v>
      </x:c>
      <x:c r="B581" s="9" t="n">
        <x:v>45997</x:v>
      </x:c>
      <x:c r="C581" s="8" t="str">
        <x:v>North</x:v>
      </x:c>
      <x:c r="D581" s="8" t="str">
        <x:v>Emma Martin</x:v>
      </x:c>
      <x:c r="E581" s="8" t="str">
        <x:v>NorthStar Co</x:v>
      </x:c>
      <x:c r="F581" s="8" t="str">
        <x:v>Hardware</x:v>
      </x:c>
      <x:c r="G581" s="8" t="str">
        <x:v>Tablet Air</x:v>
      </x:c>
      <x:c r="H581" s="10" t="n">
        <x:v>4</x:v>
      </x:c>
      <x:c r="I581" s="11" t="n">
        <x:v>820</x:v>
      </x:c>
      <x:c r="J581" s="12" t="n">
        <x:v>0.1</x:v>
      </x:c>
      <x:c r="K581" s="11" t="n">
        <x:f>H581*I581*(1-J581)</x:f>
        <x:v>2952</x:v>
      </x:c>
      <x:c r="L581" s="11" t="n">
        <x:f>H581*(I581*0.62)</x:f>
        <x:v>2033.6</x:v>
      </x:c>
      <x:c r="M581" s="11" t="n">
        <x:f>K581-L581</x:f>
        <x:v>918.4000000000001</x:v>
      </x:c>
      <x:c r="N581" s="8" t="str">
        <x:v>Online</x:v>
      </x:c>
      <x:c r="O581" s="8" t="str">
        <x:v>PayPal</x:v>
      </x:c>
      <x:c r="P581" s="8" t="str">
        <x:v>Closed Won</x:v>
      </x:c>
    </x:row>
    <x:row r="582">
      <x:c r="A582" s="8" t="str">
        <x:v>ORD-2025581</x:v>
      </x:c>
      <x:c r="B582" s="9" t="n">
        <x:v>45748</x:v>
      </x:c>
      <x:c r="C582" s="8" t="str">
        <x:v>East</x:v>
      </x:c>
      <x:c r="D582" s="8" t="str">
        <x:v>Lucas Brown</x:v>
      </x:c>
      <x:c r="E582" s="8" t="str">
        <x:v>BlueSky LLC</x:v>
      </x:c>
      <x:c r="F582" s="8" t="str">
        <x:v>Software</x:v>
      </x:c>
      <x:c r="G582" s="8" t="str">
        <x:v>ProjectFlow</x:v>
      </x:c>
      <x:c r="H582" s="10" t="n">
        <x:v>20</x:v>
      </x:c>
      <x:c r="I582" s="11" t="n">
        <x:v>700</x:v>
      </x:c>
      <x:c r="J582" s="12" t="n">
        <x:v>0</x:v>
      </x:c>
      <x:c r="K582" s="11" t="n">
        <x:f>H582*I582*(1-J582)</x:f>
        <x:v>14000</x:v>
      </x:c>
      <x:c r="L582" s="11" t="n">
        <x:f>H582*(I582*0.62)</x:f>
        <x:v>8680</x:v>
      </x:c>
      <x:c r="M582" s="11" t="n">
        <x:f>K582-L582</x:f>
        <x:v>5320</x:v>
      </x:c>
      <x:c r="N582" s="8" t="str">
        <x:v>Online</x:v>
      </x:c>
      <x:c r="O582" s="8" t="str">
        <x:v>PayPal</x:v>
      </x:c>
      <x:c r="P582" s="8" t="str">
        <x:v>Closed Won</x:v>
      </x:c>
    </x:row>
    <x:row r="583">
      <x:c r="A583" s="8" t="str">
        <x:v>ORD-2025582</x:v>
      </x:c>
      <x:c r="B583" s="9" t="n">
        <x:v>45769</x:v>
      </x:c>
      <x:c r="C583" s="8" t="str">
        <x:v>South</x:v>
      </x:c>
      <x:c r="D583" s="8" t="str">
        <x:v>Emma Martin</x:v>
      </x:c>
      <x:c r="E583" s="8" t="str">
        <x:v>Acme LLC</x:v>
      </x:c>
      <x:c r="F583" s="8" t="str">
        <x:v>Software</x:v>
      </x:c>
      <x:c r="G583" s="8" t="str">
        <x:v>CRM Pro</x:v>
      </x:c>
      <x:c r="H583" s="10" t="n">
        <x:v>25</x:v>
      </x:c>
      <x:c r="I583" s="11" t="n">
        <x:v>1200</x:v>
      </x:c>
      <x:c r="J583" s="12" t="n">
        <x:v>0</x:v>
      </x:c>
      <x:c r="K583" s="11" t="n">
        <x:f>H583*I583*(1-J583)</x:f>
        <x:v>30000</x:v>
      </x:c>
      <x:c r="L583" s="11" t="n">
        <x:f>H583*(I583*0.62)</x:f>
        <x:v>18600</x:v>
      </x:c>
      <x:c r="M583" s="11" t="n">
        <x:f>K583-L583</x:f>
        <x:v>11400</x:v>
      </x:c>
      <x:c r="N583" s="8" t="str">
        <x:v>Online</x:v>
      </x:c>
      <x:c r="O583" s="8" t="str">
        <x:v>Bank Transfer</x:v>
      </x:c>
      <x:c r="P583" s="8" t="str">
        <x:v>Pending</x:v>
      </x:c>
    </x:row>
    <x:row r="584">
      <x:c r="A584" s="8" t="str">
        <x:v>ORD-2025583</x:v>
      </x:c>
      <x:c r="B584" s="9" t="n">
        <x:v>45973</x:v>
      </x:c>
      <x:c r="C584" s="8" t="str">
        <x:v>Central</x:v>
      </x:c>
      <x:c r="D584" s="8" t="str">
        <x:v>Olivia Wilson</x:v>
      </x:c>
      <x:c r="E584" s="8" t="str">
        <x:v>Nexus Inc</x:v>
      </x:c>
      <x:c r="F584" s="8" t="str">
        <x:v>Services</x:v>
      </x:c>
      <x:c r="G584" s="8" t="str">
        <x:v>Consulting Day</x:v>
      </x:c>
      <x:c r="H584" s="10" t="n">
        <x:v>7</x:v>
      </x:c>
      <x:c r="I584" s="11" t="n">
        <x:v>1400</x:v>
      </x:c>
      <x:c r="J584" s="12" t="n">
        <x:v>0.15</x:v>
      </x:c>
      <x:c r="K584" s="11" t="n">
        <x:f>H584*I584*(1-J584)</x:f>
        <x:v>8330</x:v>
      </x:c>
      <x:c r="L584" s="11" t="n">
        <x:f>H584*(I584*0.62)</x:f>
        <x:v>6076</x:v>
      </x:c>
      <x:c r="M584" s="11" t="n">
        <x:f>K584-L584</x:f>
        <x:v>2254</x:v>
      </x:c>
      <x:c r="N584" s="8" t="str">
        <x:v>Partner</x:v>
      </x:c>
      <x:c r="O584" s="8" t="str">
        <x:v>Invoice</x:v>
      </x:c>
      <x:c r="P584" s="8" t="str">
        <x:v>Shipped</x:v>
      </x:c>
    </x:row>
    <x:row r="585">
      <x:c r="A585" s="8" t="str">
        <x:v>ORD-2025584</x:v>
      </x:c>
      <x:c r="B585" s="9" t="n">
        <x:v>45834</x:v>
      </x:c>
      <x:c r="C585" s="8" t="str">
        <x:v>North</x:v>
      </x:c>
      <x:c r="D585" s="8" t="str">
        <x:v>Emma Martin</x:v>
      </x:c>
      <x:c r="E585" s="8" t="str">
        <x:v>Acme Inc</x:v>
      </x:c>
      <x:c r="F585" s="8" t="str">
        <x:v>Services</x:v>
      </x:c>
      <x:c r="G585" s="8" t="str">
        <x:v>Consulting Day</x:v>
      </x:c>
      <x:c r="H585" s="10" t="n">
        <x:v>20</x:v>
      </x:c>
      <x:c r="I585" s="11" t="n">
        <x:v>1400</x:v>
      </x:c>
      <x:c r="J585" s="12" t="n">
        <x:v>0.1</x:v>
      </x:c>
      <x:c r="K585" s="11" t="n">
        <x:f>H585*I585*(1-J585)</x:f>
        <x:v>25200</x:v>
      </x:c>
      <x:c r="L585" s="11" t="n">
        <x:f>H585*(I585*0.62)</x:f>
        <x:v>17360</x:v>
      </x:c>
      <x:c r="M585" s="11" t="n">
        <x:f>K585-L585</x:f>
        <x:v>7840</x:v>
      </x:c>
      <x:c r="N585" s="8" t="str">
        <x:v>Partner</x:v>
      </x:c>
      <x:c r="O585" s="8" t="str">
        <x:v>Bank Transfer</x:v>
      </x:c>
      <x:c r="P585" s="8" t="str">
        <x:v>Returned</x:v>
      </x:c>
    </x:row>
    <x:row r="586">
      <x:c r="A586" s="8" t="str">
        <x:v>ORD-2025585</x:v>
      </x:c>
      <x:c r="B586" s="9" t="n">
        <x:v>45939</x:v>
      </x:c>
      <x:c r="C586" s="8" t="str">
        <x:v>North</x:v>
      </x:c>
      <x:c r="D586" s="8" t="str">
        <x:v>Ava Patel</x:v>
      </x:c>
      <x:c r="E586" s="8" t="str">
        <x:v>Maple Group</x:v>
      </x:c>
      <x:c r="F586" s="8" t="str">
        <x:v>Software</x:v>
      </x:c>
      <x:c r="G586" s="8" t="str">
        <x:v>HR Suite</x:v>
      </x:c>
      <x:c r="H586" s="10" t="n">
        <x:v>12</x:v>
      </x:c>
      <x:c r="I586" s="11" t="n">
        <x:v>950</x:v>
      </x:c>
      <x:c r="J586" s="12" t="n">
        <x:v>0</x:v>
      </x:c>
      <x:c r="K586" s="11" t="n">
        <x:f>H586*I586*(1-J586)</x:f>
        <x:v>11400</x:v>
      </x:c>
      <x:c r="L586" s="11" t="n">
        <x:f>H586*(I586*0.62)</x:f>
        <x:v>7068</x:v>
      </x:c>
      <x:c r="M586" s="11" t="n">
        <x:f>K586-L586</x:f>
        <x:v>4332</x:v>
      </x:c>
      <x:c r="N586" s="8" t="str">
        <x:v>Partner</x:v>
      </x:c>
      <x:c r="O586" s="8" t="str">
        <x:v>Credit Card</x:v>
      </x:c>
      <x:c r="P586" s="8" t="str">
        <x:v>Closed Won</x:v>
      </x:c>
    </x:row>
    <x:row r="587">
      <x:c r="A587" s="8" t="str">
        <x:v>ORD-2025586</x:v>
      </x:c>
      <x:c r="B587" s="9" t="n">
        <x:v>46022</x:v>
      </x:c>
      <x:c r="C587" s="8" t="str">
        <x:v>West</x:v>
      </x:c>
      <x:c r="D587" s="8" t="str">
        <x:v>Lucas Brown</x:v>
      </x:c>
      <x:c r="E587" s="8" t="str">
        <x:v>SilverLine LLC</x:v>
      </x:c>
      <x:c r="F587" s="8" t="str">
        <x:v>Accessories</x:v>
      </x:c>
      <x:c r="G587" s="8" t="str">
        <x:v>Webcam HD</x:v>
      </x:c>
      <x:c r="H587" s="10" t="n">
        <x:v>14</x:v>
      </x:c>
      <x:c r="I587" s="11" t="n">
        <x:v>110</x:v>
      </x:c>
      <x:c r="J587" s="12" t="n">
        <x:v>0.1</x:v>
      </x:c>
      <x:c r="K587" s="11" t="n">
        <x:f>H587*I587*(1-J587)</x:f>
        <x:v>1386</x:v>
      </x:c>
      <x:c r="L587" s="11" t="n">
        <x:f>H587*(I587*0.62)</x:f>
        <x:v>954.8000000000001</x:v>
      </x:c>
      <x:c r="M587" s="11" t="n">
        <x:f>K587-L587</x:f>
        <x:v>431.19999999999993</x:v>
      </x:c>
      <x:c r="N587" s="8" t="str">
        <x:v>Direct</x:v>
      </x:c>
      <x:c r="O587" s="8" t="str">
        <x:v>Bank Transfer</x:v>
      </x:c>
      <x:c r="P587" s="8" t="str">
        <x:v>Pending</x:v>
      </x:c>
    </x:row>
    <x:row r="588">
      <x:c r="A588" s="8" t="str">
        <x:v>ORD-2025587</x:v>
      </x:c>
      <x:c r="B588" s="9" t="n">
        <x:v>45842</x:v>
      </x:c>
      <x:c r="C588" s="8" t="str">
        <x:v>West</x:v>
      </x:c>
      <x:c r="D588" s="8" t="str">
        <x:v>Noah Davis</x:v>
      </x:c>
      <x:c r="E588" s="8" t="str">
        <x:v>Vertex LLC</x:v>
      </x:c>
      <x:c r="F588" s="8" t="str">
        <x:v>Hardware</x:v>
      </x:c>
      <x:c r="G588" s="8" t="str">
        <x:v>Monitor 27</x:v>
      </x:c>
      <x:c r="H588" s="10" t="n">
        <x:v>22</x:v>
      </x:c>
      <x:c r="I588" s="11" t="n">
        <x:v>320</x:v>
      </x:c>
      <x:c r="J588" s="12" t="n">
        <x:v>0</x:v>
      </x:c>
      <x:c r="K588" s="11" t="n">
        <x:f>H588*I588*(1-J588)</x:f>
        <x:v>7040</x:v>
      </x:c>
      <x:c r="L588" s="11" t="n">
        <x:f>H588*(I588*0.62)</x:f>
        <x:v>4364.8</x:v>
      </x:c>
      <x:c r="M588" s="11" t="n">
        <x:f>K588-L588</x:f>
        <x:v>2675.2</x:v>
      </x:c>
      <x:c r="N588" s="8" t="str">
        <x:v>Direct</x:v>
      </x:c>
      <x:c r="O588" s="8" t="str">
        <x:v>Credit Card</x:v>
      </x:c>
      <x:c r="P588" s="8" t="str">
        <x:v>Closed Won</x:v>
      </x:c>
    </x:row>
    <x:row r="589">
      <x:c r="A589" s="8" t="str">
        <x:v>ORD-2025588</x:v>
      </x:c>
      <x:c r="B589" s="9" t="n">
        <x:v>45907</x:v>
      </x:c>
      <x:c r="C589" s="8" t="str">
        <x:v>West</x:v>
      </x:c>
      <x:c r="D589" s="8" t="str">
        <x:v>Noah Davis</x:v>
      </x:c>
      <x:c r="E589" s="8" t="str">
        <x:v>BlueSky Co</x:v>
      </x:c>
      <x:c r="F589" s="8" t="str">
        <x:v>Software</x:v>
      </x:c>
      <x:c r="G589" s="8" t="str">
        <x:v>Analytics Cloud</x:v>
      </x:c>
      <x:c r="H589" s="10" t="n">
        <x:v>5</x:v>
      </x:c>
      <x:c r="I589" s="11" t="n">
        <x:v>1800</x:v>
      </x:c>
      <x:c r="J589" s="12" t="n">
        <x:v>0.15</x:v>
      </x:c>
      <x:c r="K589" s="11" t="n">
        <x:f>H589*I589*(1-J589)</x:f>
        <x:v>7650</x:v>
      </x:c>
      <x:c r="L589" s="11" t="n">
        <x:f>H589*(I589*0.62)</x:f>
        <x:v>5580</x:v>
      </x:c>
      <x:c r="M589" s="11" t="n">
        <x:f>K589-L589</x:f>
        <x:v>2070</x:v>
      </x:c>
      <x:c r="N589" s="8" t="str">
        <x:v>Partner</x:v>
      </x:c>
      <x:c r="O589" s="8" t="str">
        <x:v>PayPal</x:v>
      </x:c>
      <x:c r="P589" s="8" t="str">
        <x:v>Cancelled</x:v>
      </x:c>
    </x:row>
    <x:row r="590">
      <x:c r="A590" s="8" t="str">
        <x:v>ORD-2025589</x:v>
      </x:c>
      <x:c r="B590" s="9" t="n">
        <x:v>45890</x:v>
      </x:c>
      <x:c r="C590" s="8" t="str">
        <x:v>Central</x:v>
      </x:c>
      <x:c r="D590" s="8" t="str">
        <x:v>Lucas Brown</x:v>
      </x:c>
      <x:c r="E590" s="8" t="str">
        <x:v>Maple Co</x:v>
      </x:c>
      <x:c r="F590" s="8" t="str">
        <x:v>Accessories</x:v>
      </x:c>
      <x:c r="G590" s="8" t="str">
        <x:v>Keyboard Pro</x:v>
      </x:c>
      <x:c r="H590" s="10" t="n">
        <x:v>15</x:v>
      </x:c>
      <x:c r="I590" s="11" t="n">
        <x:v>95</x:v>
      </x:c>
      <x:c r="J590" s="12" t="n">
        <x:v>0.05</x:v>
      </x:c>
      <x:c r="K590" s="11" t="n">
        <x:f>H590*I590*(1-J590)</x:f>
        <x:v>1353.75</x:v>
      </x:c>
      <x:c r="L590" s="11" t="n">
        <x:f>H590*(I590*0.62)</x:f>
        <x:v>883.5</x:v>
      </x:c>
      <x:c r="M590" s="11" t="n">
        <x:f>K590-L590</x:f>
        <x:v>470.25</x:v>
      </x:c>
      <x:c r="N590" s="8" t="str">
        <x:v>Partner</x:v>
      </x:c>
      <x:c r="O590" s="8" t="str">
        <x:v>Bank Transfer</x:v>
      </x:c>
      <x:c r="P590" s="8" t="str">
        <x:v>Closed Won</x:v>
      </x:c>
    </x:row>
    <x:row r="591">
      <x:c r="A591" s="8" t="str">
        <x:v>ORD-2025590</x:v>
      </x:c>
      <x:c r="B591" s="9" t="n">
        <x:v>45779</x:v>
      </x:c>
      <x:c r="C591" s="8" t="str">
        <x:v>Central</x:v>
      </x:c>
      <x:c r="D591" s="8" t="str">
        <x:v>Ethan Garcia</x:v>
      </x:c>
      <x:c r="E591" s="8" t="str">
        <x:v>RedStone LLC</x:v>
      </x:c>
      <x:c r="F591" s="8" t="str">
        <x:v>Software</x:v>
      </x:c>
      <x:c r="G591" s="8" t="str">
        <x:v>ProjectFlow</x:v>
      </x:c>
      <x:c r="H591" s="10" t="n">
        <x:v>18</x:v>
      </x:c>
      <x:c r="I591" s="11" t="n">
        <x:v>700</x:v>
      </x:c>
      <x:c r="J591" s="12" t="n">
        <x:v>0.1</x:v>
      </x:c>
      <x:c r="K591" s="11" t="n">
        <x:f>H591*I591*(1-J591)</x:f>
        <x:v>11340</x:v>
      </x:c>
      <x:c r="L591" s="11" t="n">
        <x:f>H591*(I591*0.62)</x:f>
        <x:v>7812</x:v>
      </x:c>
      <x:c r="M591" s="11" t="n">
        <x:f>K591-L591</x:f>
        <x:v>3528</x:v>
      </x:c>
      <x:c r="N591" s="8" t="str">
        <x:v>Partner</x:v>
      </x:c>
      <x:c r="O591" s="8" t="str">
        <x:v>Credit Card</x:v>
      </x:c>
      <x:c r="P591" s="8" t="str">
        <x:v>Cancelled</x:v>
      </x:c>
    </x:row>
    <x:row r="592">
      <x:c r="A592" s="8" t="str">
        <x:v>ORD-2025591</x:v>
      </x:c>
      <x:c r="B592" s="9" t="n">
        <x:v>45715</x:v>
      </x:c>
      <x:c r="C592" s="8" t="str">
        <x:v>Central</x:v>
      </x:c>
      <x:c r="D592" s="8" t="str">
        <x:v>Olivia Wilson</x:v>
      </x:c>
      <x:c r="E592" s="8" t="str">
        <x:v>BlueSky Co</x:v>
      </x:c>
      <x:c r="F592" s="8" t="str">
        <x:v>Accessories</x:v>
      </x:c>
      <x:c r="G592" s="8" t="str">
        <x:v>Webcam HD</x:v>
      </x:c>
      <x:c r="H592" s="10" t="n">
        <x:v>5</x:v>
      </x:c>
      <x:c r="I592" s="11" t="n">
        <x:v>110</x:v>
      </x:c>
      <x:c r="J592" s="12" t="n">
        <x:v>0.15</x:v>
      </x:c>
      <x:c r="K592" s="11" t="n">
        <x:f>H592*I592*(1-J592)</x:f>
        <x:v>467.5</x:v>
      </x:c>
      <x:c r="L592" s="11" t="n">
        <x:f>H592*(I592*0.62)</x:f>
        <x:v>341</x:v>
      </x:c>
      <x:c r="M592" s="11" t="n">
        <x:f>K592-L592</x:f>
        <x:v>126.5</x:v>
      </x:c>
      <x:c r="N592" s="8" t="str">
        <x:v>Online</x:v>
      </x:c>
      <x:c r="O592" s="8" t="str">
        <x:v>Invoice</x:v>
      </x:c>
      <x:c r="P592" s="8" t="str">
        <x:v>Pending</x:v>
      </x:c>
    </x:row>
    <x:row r="593">
      <x:c r="A593" s="8" t="str">
        <x:v>ORD-2025592</x:v>
      </x:c>
      <x:c r="B593" s="9" t="n">
        <x:v>45783</x:v>
      </x:c>
      <x:c r="C593" s="8" t="str">
        <x:v>West</x:v>
      </x:c>
      <x:c r="D593" s="8" t="str">
        <x:v>Liam Chen</x:v>
      </x:c>
      <x:c r="E593" s="8" t="str">
        <x:v>Maple Inc</x:v>
      </x:c>
      <x:c r="F593" s="8" t="str">
        <x:v>Software</x:v>
      </x:c>
      <x:c r="G593" s="8" t="str">
        <x:v>CRM Pro</x:v>
      </x:c>
      <x:c r="H593" s="10" t="n">
        <x:v>19</x:v>
      </x:c>
      <x:c r="I593" s="11" t="n">
        <x:v>1200</x:v>
      </x:c>
      <x:c r="J593" s="12" t="n">
        <x:v>0</x:v>
      </x:c>
      <x:c r="K593" s="11" t="n">
        <x:f>H593*I593*(1-J593)</x:f>
        <x:v>22800</x:v>
      </x:c>
      <x:c r="L593" s="11" t="n">
        <x:f>H593*(I593*0.62)</x:f>
        <x:v>14136</x:v>
      </x:c>
      <x:c r="M593" s="11" t="n">
        <x:f>K593-L593</x:f>
        <x:v>8664</x:v>
      </x:c>
      <x:c r="N593" s="8" t="str">
        <x:v>Online</x:v>
      </x:c>
      <x:c r="O593" s="8" t="str">
        <x:v>Credit Card</x:v>
      </x:c>
      <x:c r="P593" s="8" t="str">
        <x:v>Cancelled</x:v>
      </x:c>
    </x:row>
    <x:row r="594">
      <x:c r="A594" s="8" t="str">
        <x:v>ORD-2025593</x:v>
      </x:c>
      <x:c r="B594" s="9" t="n">
        <x:v>45890</x:v>
      </x:c>
      <x:c r="C594" s="8" t="str">
        <x:v>Central</x:v>
      </x:c>
      <x:c r="D594" s="8" t="str">
        <x:v>Olivia Wilson</x:v>
      </x:c>
      <x:c r="E594" s="8" t="str">
        <x:v>Ironwood Inc</x:v>
      </x:c>
      <x:c r="F594" s="8" t="str">
        <x:v>Software</x:v>
      </x:c>
      <x:c r="G594" s="8" t="str">
        <x:v>ProjectFlow</x:v>
      </x:c>
      <x:c r="H594" s="10" t="n">
        <x:v>24</x:v>
      </x:c>
      <x:c r="I594" s="11" t="n">
        <x:v>700</x:v>
      </x:c>
      <x:c r="J594" s="12" t="n">
        <x:v>0</x:v>
      </x:c>
      <x:c r="K594" s="11" t="n">
        <x:f>H594*I594*(1-J594)</x:f>
        <x:v>16800</x:v>
      </x:c>
      <x:c r="L594" s="11" t="n">
        <x:f>H594*(I594*0.62)</x:f>
        <x:v>10416</x:v>
      </x:c>
      <x:c r="M594" s="11" t="n">
        <x:f>K594-L594</x:f>
        <x:v>6384</x:v>
      </x:c>
      <x:c r="N594" s="8" t="str">
        <x:v>Partner</x:v>
      </x:c>
      <x:c r="O594" s="8" t="str">
        <x:v>Invoice</x:v>
      </x:c>
      <x:c r="P594" s="8" t="str">
        <x:v>Cancelled</x:v>
      </x:c>
    </x:row>
    <x:row r="595">
      <x:c r="A595" s="8" t="str">
        <x:v>ORD-2025594</x:v>
      </x:c>
      <x:c r="B595" s="9" t="n">
        <x:v>45743</x:v>
      </x:c>
      <x:c r="C595" s="8" t="str">
        <x:v>North</x:v>
      </x:c>
      <x:c r="D595" s="8" t="str">
        <x:v>Emma Martin</x:v>
      </x:c>
      <x:c r="E595" s="8" t="str">
        <x:v>Vertex Co</x:v>
      </x:c>
      <x:c r="F595" s="8" t="str">
        <x:v>Services</x:v>
      </x:c>
      <x:c r="G595" s="8" t="str">
        <x:v>Support Plus</x:v>
      </x:c>
      <x:c r="H595" s="10" t="n">
        <x:v>24</x:v>
      </x:c>
      <x:c r="I595" s="11" t="n">
        <x:v>650</x:v>
      </x:c>
      <x:c r="J595" s="12" t="n">
        <x:v>0.2</x:v>
      </x:c>
      <x:c r="K595" s="11" t="n">
        <x:f>H595*I595*(1-J595)</x:f>
        <x:v>12480</x:v>
      </x:c>
      <x:c r="L595" s="11" t="n">
        <x:f>H595*(I595*0.62)</x:f>
        <x:v>9672</x:v>
      </x:c>
      <x:c r="M595" s="11" t="n">
        <x:f>K595-L595</x:f>
        <x:v>2808</x:v>
      </x:c>
      <x:c r="N595" s="8" t="str">
        <x:v>Online</x:v>
      </x:c>
      <x:c r="O595" s="8" t="str">
        <x:v>Invoice</x:v>
      </x:c>
      <x:c r="P595" s="8" t="str">
        <x:v>Closed Won</x:v>
      </x:c>
    </x:row>
    <x:row r="596">
      <x:c r="A596" s="8" t="str">
        <x:v>ORD-2025595</x:v>
      </x:c>
      <x:c r="B596" s="9" t="n">
        <x:v>45951</x:v>
      </x:c>
      <x:c r="C596" s="8" t="str">
        <x:v>North</x:v>
      </x:c>
      <x:c r="D596" s="8" t="str">
        <x:v>Ethan Garcia</x:v>
      </x:c>
      <x:c r="E596" s="8" t="str">
        <x:v>Nova Group</x:v>
      </x:c>
      <x:c r="F596" s="8" t="str">
        <x:v>Accessories</x:v>
      </x:c>
      <x:c r="G596" s="8" t="str">
        <x:v>Keyboard Pro</x:v>
      </x:c>
      <x:c r="H596" s="10" t="n">
        <x:v>1</x:v>
      </x:c>
      <x:c r="I596" s="11" t="n">
        <x:v>95</x:v>
      </x:c>
      <x:c r="J596" s="12" t="n">
        <x:v>0</x:v>
      </x:c>
      <x:c r="K596" s="11" t="n">
        <x:f>H596*I596*(1-J596)</x:f>
        <x:v>95</x:v>
      </x:c>
      <x:c r="L596" s="11" t="n">
        <x:f>H596*(I596*0.62)</x:f>
        <x:v>58.9</x:v>
      </x:c>
      <x:c r="M596" s="11" t="n">
        <x:f>K596-L596</x:f>
        <x:v>36.1</x:v>
      </x:c>
      <x:c r="N596" s="8" t="str">
        <x:v>Partner</x:v>
      </x:c>
      <x:c r="O596" s="8" t="str">
        <x:v>Credit Card</x:v>
      </x:c>
      <x:c r="P596" s="8" t="str">
        <x:v>Closed Won</x:v>
      </x:c>
    </x:row>
    <x:row r="597">
      <x:c r="A597" s="8" t="str">
        <x:v>ORD-2025596</x:v>
      </x:c>
      <x:c r="B597" s="9" t="n">
        <x:v>45787</x:v>
      </x:c>
      <x:c r="C597" s="8" t="str">
        <x:v>South</x:v>
      </x:c>
      <x:c r="D597" s="8" t="str">
        <x:v>Emma Martin</x:v>
      </x:c>
      <x:c r="E597" s="8" t="str">
        <x:v>Prime Group</x:v>
      </x:c>
      <x:c r="F597" s="8" t="str">
        <x:v>Software</x:v>
      </x:c>
      <x:c r="G597" s="8" t="str">
        <x:v>HR Suite</x:v>
      </x:c>
      <x:c r="H597" s="10" t="n">
        <x:v>9</x:v>
      </x:c>
      <x:c r="I597" s="11" t="n">
        <x:v>950</x:v>
      </x:c>
      <x:c r="J597" s="12" t="n">
        <x:v>0.2</x:v>
      </x:c>
      <x:c r="K597" s="11" t="n">
        <x:f>H597*I597*(1-J597)</x:f>
        <x:v>6840</x:v>
      </x:c>
      <x:c r="L597" s="11" t="n">
        <x:f>H597*(I597*0.62)</x:f>
        <x:v>5301</x:v>
      </x:c>
      <x:c r="M597" s="11" t="n">
        <x:f>K597-L597</x:f>
        <x:v>1539</x:v>
      </x:c>
      <x:c r="N597" s="8" t="str">
        <x:v>Partner</x:v>
      </x:c>
      <x:c r="O597" s="8" t="str">
        <x:v>Credit Card</x:v>
      </x:c>
      <x:c r="P597" s="8" t="str">
        <x:v>Shipped</x:v>
      </x:c>
    </x:row>
    <x:row r="598">
      <x:c r="A598" s="8" t="str">
        <x:v>ORD-2025597</x:v>
      </x:c>
      <x:c r="B598" s="9" t="n">
        <x:v>45995</x:v>
      </x:c>
      <x:c r="C598" s="8" t="str">
        <x:v>West</x:v>
      </x:c>
      <x:c r="D598" s="8" t="str">
        <x:v>Sophia Kim</x:v>
      </x:c>
      <x:c r="E598" s="8" t="str">
        <x:v>GreenLeaf Co</x:v>
      </x:c>
      <x:c r="F598" s="8" t="str">
        <x:v>Hardware</x:v>
      </x:c>
      <x:c r="G598" s="8" t="str">
        <x:v>Tablet Air</x:v>
      </x:c>
      <x:c r="H598" s="10" t="n">
        <x:v>9</x:v>
      </x:c>
      <x:c r="I598" s="11" t="n">
        <x:v>820</x:v>
      </x:c>
      <x:c r="J598" s="12" t="n">
        <x:v>0.2</x:v>
      </x:c>
      <x:c r="K598" s="11" t="n">
        <x:f>H598*I598*(1-J598)</x:f>
        <x:v>5904</x:v>
      </x:c>
      <x:c r="L598" s="11" t="n">
        <x:f>H598*(I598*0.62)</x:f>
        <x:v>4575.599999999999</x:v>
      </x:c>
      <x:c r="M598" s="11" t="n">
        <x:f>K598-L598</x:f>
        <x:v>1328.4000000000005</x:v>
      </x:c>
      <x:c r="N598" s="8" t="str">
        <x:v>Online</x:v>
      </x:c>
      <x:c r="O598" s="8" t="str">
        <x:v>Bank Transfer</x:v>
      </x:c>
      <x:c r="P598" s="8" t="str">
        <x:v>Pending</x:v>
      </x:c>
    </x:row>
    <x:row r="599">
      <x:c r="A599" s="8" t="str">
        <x:v>ORD-2025598</x:v>
      </x:c>
      <x:c r="B599" s="9" t="n">
        <x:v>45701</x:v>
      </x:c>
      <x:c r="C599" s="8" t="str">
        <x:v>South</x:v>
      </x:c>
      <x:c r="D599" s="8" t="str">
        <x:v>Emma Martin</x:v>
      </x:c>
      <x:c r="E599" s="8" t="str">
        <x:v>Urban Group</x:v>
      </x:c>
      <x:c r="F599" s="8" t="str">
        <x:v>Software</x:v>
      </x:c>
      <x:c r="G599" s="8" t="str">
        <x:v>HR Suite</x:v>
      </x:c>
      <x:c r="H599" s="10" t="n">
        <x:v>16</x:v>
      </x:c>
      <x:c r="I599" s="11" t="n">
        <x:v>950</x:v>
      </x:c>
      <x:c r="J599" s="12" t="n">
        <x:v>0.2</x:v>
      </x:c>
      <x:c r="K599" s="11" t="n">
        <x:f>H599*I599*(1-J599)</x:f>
        <x:v>12160</x:v>
      </x:c>
      <x:c r="L599" s="11" t="n">
        <x:f>H599*(I599*0.62)</x:f>
        <x:v>9424</x:v>
      </x:c>
      <x:c r="M599" s="11" t="n">
        <x:f>K599-L599</x:f>
        <x:v>2736</x:v>
      </x:c>
      <x:c r="N599" s="8" t="str">
        <x:v>Partner</x:v>
      </x:c>
      <x:c r="O599" s="8" t="str">
        <x:v>PayPal</x:v>
      </x:c>
      <x:c r="P599" s="8" t="str">
        <x:v>Closed Won</x:v>
      </x:c>
    </x:row>
    <x:row r="600">
      <x:c r="A600" s="8" t="str">
        <x:v>ORD-2025599</x:v>
      </x:c>
      <x:c r="B600" s="9" t="n">
        <x:v>45765</x:v>
      </x:c>
      <x:c r="C600" s="8" t="str">
        <x:v>Central</x:v>
      </x:c>
      <x:c r="D600" s="8" t="str">
        <x:v>Sophia Kim</x:v>
      </x:c>
      <x:c r="E600" s="8" t="str">
        <x:v>Summit Co</x:v>
      </x:c>
      <x:c r="F600" s="8" t="str">
        <x:v>Accessories</x:v>
      </x:c>
      <x:c r="G600" s="8" t="str">
        <x:v>Keyboard Pro</x:v>
      </x:c>
      <x:c r="H600" s="10" t="n">
        <x:v>21</x:v>
      </x:c>
      <x:c r="I600" s="11" t="n">
        <x:v>95</x:v>
      </x:c>
      <x:c r="J600" s="12" t="n">
        <x:v>0</x:v>
      </x:c>
      <x:c r="K600" s="11" t="n">
        <x:f>H600*I600*(1-J600)</x:f>
        <x:v>1995</x:v>
      </x:c>
      <x:c r="L600" s="11" t="n">
        <x:f>H600*(I600*0.62)</x:f>
        <x:v>1236.8999999999999</x:v>
      </x:c>
      <x:c r="M600" s="11" t="n">
        <x:f>K600-L600</x:f>
        <x:v>758.1000000000001</x:v>
      </x:c>
      <x:c r="N600" s="8" t="str">
        <x:v>Direct</x:v>
      </x:c>
      <x:c r="O600" s="8" t="str">
        <x:v>Credit Card</x:v>
      </x:c>
      <x:c r="P600" s="8" t="str">
        <x:v>Closed Won</x:v>
      </x:c>
    </x:row>
    <x:row r="601">
      <x:c r="A601" s="8" t="str">
        <x:v>ORD-2025600</x:v>
      </x:c>
      <x:c r="B601" s="9" t="n">
        <x:v>45812</x:v>
      </x:c>
      <x:c r="C601" s="8" t="str">
        <x:v>West</x:v>
      </x:c>
      <x:c r="D601" s="8" t="str">
        <x:v>Mason Lee</x:v>
      </x:c>
      <x:c r="E601" s="8" t="str">
        <x:v>Cedar Inc</x:v>
      </x:c>
      <x:c r="F601" s="8" t="str">
        <x:v>Accessories</x:v>
      </x:c>
      <x:c r="G601" s="8" t="str">
        <x:v>Headset</x:v>
      </x:c>
      <x:c r="H601" s="10" t="n">
        <x:v>13</x:v>
      </x:c>
      <x:c r="I601" s="11" t="n">
        <x:v>85</x:v>
      </x:c>
      <x:c r="J601" s="12" t="n">
        <x:v>0.15</x:v>
      </x:c>
      <x:c r="K601" s="11" t="n">
        <x:f>H601*I601*(1-J601)</x:f>
        <x:v>939.25</x:v>
      </x:c>
      <x:c r="L601" s="11" t="n">
        <x:f>H601*(I601*0.62)</x:f>
        <x:v>685.1</x:v>
      </x:c>
      <x:c r="M601" s="11" t="n">
        <x:f>K601-L601</x:f>
        <x:v>254.14999999999998</x:v>
      </x:c>
      <x:c r="N601" s="8" t="str">
        <x:v>Online</x:v>
      </x:c>
      <x:c r="O601" s="8" t="str">
        <x:v>PayPal</x:v>
      </x:c>
      <x:c r="P601" s="8" t="str">
        <x:v>Pending</x:v>
      </x:c>
    </x:row>
    <x:row r="602">
      <x:c r="A602" s="8" t="str">
        <x:v>ORD-2025601</x:v>
      </x:c>
      <x:c r="B602" s="9" t="n">
        <x:v>45664</x:v>
      </x:c>
      <x:c r="C602" s="8" t="str">
        <x:v>East</x:v>
      </x:c>
      <x:c r="D602" s="8" t="str">
        <x:v>Olivia Wilson</x:v>
      </x:c>
      <x:c r="E602" s="8" t="str">
        <x:v>SilverLine LLC</x:v>
      </x:c>
      <x:c r="F602" s="8" t="str">
        <x:v>Hardware</x:v>
      </x:c>
      <x:c r="G602" s="8" t="str">
        <x:v>Monitor 27</x:v>
      </x:c>
      <x:c r="H602" s="10" t="n">
        <x:v>22</x:v>
      </x:c>
      <x:c r="I602" s="11" t="n">
        <x:v>320</x:v>
      </x:c>
      <x:c r="J602" s="12" t="n">
        <x:v>0</x:v>
      </x:c>
      <x:c r="K602" s="11" t="n">
        <x:f>H602*I602*(1-J602)</x:f>
        <x:v>7040</x:v>
      </x:c>
      <x:c r="L602" s="11" t="n">
        <x:f>H602*(I602*0.62)</x:f>
        <x:v>4364.8</x:v>
      </x:c>
      <x:c r="M602" s="11" t="n">
        <x:f>K602-L602</x:f>
        <x:v>2675.2</x:v>
      </x:c>
      <x:c r="N602" s="8" t="str">
        <x:v>Online</x:v>
      </x:c>
      <x:c r="O602" s="8" t="str">
        <x:v>Credit Card</x:v>
      </x:c>
      <x:c r="P602" s="8" t="str">
        <x:v>Closed Won</x:v>
      </x:c>
    </x:row>
    <x:row r="603">
      <x:c r="A603" s="8" t="str">
        <x:v>ORD-2025602</x:v>
      </x:c>
      <x:c r="B603" s="9" t="n">
        <x:v>45970</x:v>
      </x:c>
      <x:c r="C603" s="8" t="str">
        <x:v>East</x:v>
      </x:c>
      <x:c r="D603" s="8" t="str">
        <x:v>Sophia Kim</x:v>
      </x:c>
      <x:c r="E603" s="8" t="str">
        <x:v>Prime Co</x:v>
      </x:c>
      <x:c r="F603" s="8" t="str">
        <x:v>Services</x:v>
      </x:c>
      <x:c r="G603" s="8" t="str">
        <x:v>Consulting Day</x:v>
      </x:c>
      <x:c r="H603" s="10" t="n">
        <x:v>9</x:v>
      </x:c>
      <x:c r="I603" s="11" t="n">
        <x:v>1400</x:v>
      </x:c>
      <x:c r="J603" s="12" t="n">
        <x:v>0.2</x:v>
      </x:c>
      <x:c r="K603" s="11" t="n">
        <x:f>H603*I603*(1-J603)</x:f>
        <x:v>10080</x:v>
      </x:c>
      <x:c r="L603" s="11" t="n">
        <x:f>H603*(I603*0.62)</x:f>
        <x:v>7812</x:v>
      </x:c>
      <x:c r="M603" s="11" t="n">
        <x:f>K603-L603</x:f>
        <x:v>2268</x:v>
      </x:c>
      <x:c r="N603" s="8" t="str">
        <x:v>Direct</x:v>
      </x:c>
      <x:c r="O603" s="8" t="str">
        <x:v>Invoice</x:v>
      </x:c>
      <x:c r="P603" s="8" t="str">
        <x:v>Shipped</x:v>
      </x:c>
    </x:row>
    <x:row r="604">
      <x:c r="A604" s="8" t="str">
        <x:v>ORD-2025603</x:v>
      </x:c>
      <x:c r="B604" s="9" t="n">
        <x:v>46003</x:v>
      </x:c>
      <x:c r="C604" s="8" t="str">
        <x:v>South</x:v>
      </x:c>
      <x:c r="D604" s="8" t="str">
        <x:v>Emma Martin</x:v>
      </x:c>
      <x:c r="E604" s="8" t="str">
        <x:v>Nexus LLC</x:v>
      </x:c>
      <x:c r="F604" s="8" t="str">
        <x:v>Accessories</x:v>
      </x:c>
      <x:c r="G604" s="8" t="str">
        <x:v>Headset</x:v>
      </x:c>
      <x:c r="H604" s="10" t="n">
        <x:v>17</x:v>
      </x:c>
      <x:c r="I604" s="11" t="n">
        <x:v>85</x:v>
      </x:c>
      <x:c r="J604" s="12" t="n">
        <x:v>0</x:v>
      </x:c>
      <x:c r="K604" s="11" t="n">
        <x:f>H604*I604*(1-J604)</x:f>
        <x:v>1445</x:v>
      </x:c>
      <x:c r="L604" s="11" t="n">
        <x:f>H604*(I604*0.62)</x:f>
        <x:v>895.9000000000001</x:v>
      </x:c>
      <x:c r="M604" s="11" t="n">
        <x:f>K604-L604</x:f>
        <x:v>549.0999999999999</x:v>
      </x:c>
      <x:c r="N604" s="8" t="str">
        <x:v>Online</x:v>
      </x:c>
      <x:c r="O604" s="8" t="str">
        <x:v>Bank Transfer</x:v>
      </x:c>
      <x:c r="P604" s="8" t="str">
        <x:v>Closed Won</x:v>
      </x:c>
    </x:row>
    <x:row r="605">
      <x:c r="A605" s="8" t="str">
        <x:v>ORD-2025604</x:v>
      </x:c>
      <x:c r="B605" s="9" t="n">
        <x:v>45692</x:v>
      </x:c>
      <x:c r="C605" s="8" t="str">
        <x:v>North</x:v>
      </x:c>
      <x:c r="D605" s="8" t="str">
        <x:v>Lucas Brown</x:v>
      </x:c>
      <x:c r="E605" s="8" t="str">
        <x:v>Pioneer LLC</x:v>
      </x:c>
      <x:c r="F605" s="8" t="str">
        <x:v>Software</x:v>
      </x:c>
      <x:c r="G605" s="8" t="str">
        <x:v>CRM Pro</x:v>
      </x:c>
      <x:c r="H605" s="10" t="n">
        <x:v>17</x:v>
      </x:c>
      <x:c r="I605" s="11" t="n">
        <x:v>1200</x:v>
      </x:c>
      <x:c r="J605" s="12" t="n">
        <x:v>0</x:v>
      </x:c>
      <x:c r="K605" s="11" t="n">
        <x:f>H605*I605*(1-J605)</x:f>
        <x:v>20400</x:v>
      </x:c>
      <x:c r="L605" s="11" t="n">
        <x:f>H605*(I605*0.62)</x:f>
        <x:v>12648</x:v>
      </x:c>
      <x:c r="M605" s="11" t="n">
        <x:f>K605-L605</x:f>
        <x:v>7752</x:v>
      </x:c>
      <x:c r="N605" s="8" t="str">
        <x:v>Online</x:v>
      </x:c>
      <x:c r="O605" s="8" t="str">
        <x:v>PayPal</x:v>
      </x:c>
      <x:c r="P605" s="8" t="str">
        <x:v>Closed Won</x:v>
      </x:c>
    </x:row>
    <x:row r="606">
      <x:c r="A606" s="8" t="str">
        <x:v>ORD-2025605</x:v>
      </x:c>
      <x:c r="B606" s="9" t="n">
        <x:v>45756</x:v>
      </x:c>
      <x:c r="C606" s="8" t="str">
        <x:v>North</x:v>
      </x:c>
      <x:c r="D606" s="8" t="str">
        <x:v>Ava Patel</x:v>
      </x:c>
      <x:c r="E606" s="8" t="str">
        <x:v>Nova Group</x:v>
      </x:c>
      <x:c r="F606" s="8" t="str">
        <x:v>Services</x:v>
      </x:c>
      <x:c r="G606" s="8" t="str">
        <x:v>Support Plus</x:v>
      </x:c>
      <x:c r="H606" s="10" t="n">
        <x:v>3</x:v>
      </x:c>
      <x:c r="I606" s="11" t="n">
        <x:v>650</x:v>
      </x:c>
      <x:c r="J606" s="12" t="n">
        <x:v>0</x:v>
      </x:c>
      <x:c r="K606" s="11" t="n">
        <x:f>H606*I606*(1-J606)</x:f>
        <x:v>1950</x:v>
      </x:c>
      <x:c r="L606" s="11" t="n">
        <x:f>H606*(I606*0.62)</x:f>
        <x:v>1209</x:v>
      </x:c>
      <x:c r="M606" s="11" t="n">
        <x:f>K606-L606</x:f>
        <x:v>741</x:v>
      </x:c>
      <x:c r="N606" s="8" t="str">
        <x:v>Online</x:v>
      </x:c>
      <x:c r="O606" s="8" t="str">
        <x:v>Bank Transfer</x:v>
      </x:c>
      <x:c r="P606" s="8" t="str">
        <x:v>Cancelled</x:v>
      </x:c>
    </x:row>
    <x:row r="607">
      <x:c r="A607" s="8" t="str">
        <x:v>ORD-2025606</x:v>
      </x:c>
      <x:c r="B607" s="9" t="n">
        <x:v>45702</x:v>
      </x:c>
      <x:c r="C607" s="8" t="str">
        <x:v>Central</x:v>
      </x:c>
      <x:c r="D607" s="8" t="str">
        <x:v>Noah Davis</x:v>
      </x:c>
      <x:c r="E607" s="8" t="str">
        <x:v>SilverLine LLC</x:v>
      </x:c>
      <x:c r="F607" s="8" t="str">
        <x:v>Software</x:v>
      </x:c>
      <x:c r="G607" s="8" t="str">
        <x:v>CRM Pro</x:v>
      </x:c>
      <x:c r="H607" s="10" t="n">
        <x:v>22</x:v>
      </x:c>
      <x:c r="I607" s="11" t="n">
        <x:v>1200</x:v>
      </x:c>
      <x:c r="J607" s="12" t="n">
        <x:v>0.2</x:v>
      </x:c>
      <x:c r="K607" s="11" t="n">
        <x:f>H607*I607*(1-J607)</x:f>
        <x:v>21120</x:v>
      </x:c>
      <x:c r="L607" s="11" t="n">
        <x:f>H607*(I607*0.62)</x:f>
        <x:v>16368</x:v>
      </x:c>
      <x:c r="M607" s="11" t="n">
        <x:f>K607-L607</x:f>
        <x:v>4752</x:v>
      </x:c>
      <x:c r="N607" s="8" t="str">
        <x:v>Online</x:v>
      </x:c>
      <x:c r="O607" s="8" t="str">
        <x:v>Bank Transfer</x:v>
      </x:c>
      <x:c r="P607" s="8" t="str">
        <x:v>Cancelled</x:v>
      </x:c>
    </x:row>
    <x:row r="608">
      <x:c r="A608" s="8" t="str">
        <x:v>ORD-2025607</x:v>
      </x:c>
      <x:c r="B608" s="9" t="n">
        <x:v>45808</x:v>
      </x:c>
      <x:c r="C608" s="8" t="str">
        <x:v>West</x:v>
      </x:c>
      <x:c r="D608" s="8" t="str">
        <x:v>Liam Chen</x:v>
      </x:c>
      <x:c r="E608" s="8" t="str">
        <x:v>GoldenGate Co</x:v>
      </x:c>
      <x:c r="F608" s="8" t="str">
        <x:v>Hardware</x:v>
      </x:c>
      <x:c r="G608" s="8" t="str">
        <x:v>Dock Station</x:v>
      </x:c>
      <x:c r="H608" s="10" t="n">
        <x:v>9</x:v>
      </x:c>
      <x:c r="I608" s="11" t="n">
        <x:v>180</x:v>
      </x:c>
      <x:c r="J608" s="12" t="n">
        <x:v>0.2</x:v>
      </x:c>
      <x:c r="K608" s="11" t="n">
        <x:f>H608*I608*(1-J608)</x:f>
        <x:v>1296</x:v>
      </x:c>
      <x:c r="L608" s="11" t="n">
        <x:f>H608*(I608*0.62)</x:f>
        <x:v>1004.4</x:v>
      </x:c>
      <x:c r="M608" s="11" t="n">
        <x:f>K608-L608</x:f>
        <x:v>291.6</x:v>
      </x:c>
      <x:c r="N608" s="8" t="str">
        <x:v>Partner</x:v>
      </x:c>
      <x:c r="O608" s="8" t="str">
        <x:v>Invoice</x:v>
      </x:c>
      <x:c r="P608" s="8" t="str">
        <x:v>Closed Won</x:v>
      </x:c>
    </x:row>
    <x:row r="609">
      <x:c r="A609" s="8" t="str">
        <x:v>ORD-2025608</x:v>
      </x:c>
      <x:c r="B609" s="9" t="n">
        <x:v>45689</x:v>
      </x:c>
      <x:c r="C609" s="8" t="str">
        <x:v>West</x:v>
      </x:c>
      <x:c r="D609" s="8" t="str">
        <x:v>Lucas Brown</x:v>
      </x:c>
      <x:c r="E609" s="8" t="str">
        <x:v>BrightPath Co</x:v>
      </x:c>
      <x:c r="F609" s="8" t="str">
        <x:v>Software</x:v>
      </x:c>
      <x:c r="G609" s="8" t="str">
        <x:v>HR Suite</x:v>
      </x:c>
      <x:c r="H609" s="10" t="n">
        <x:v>2</x:v>
      </x:c>
      <x:c r="I609" s="11" t="n">
        <x:v>950</x:v>
      </x:c>
      <x:c r="J609" s="12" t="n">
        <x:v>0</x:v>
      </x:c>
      <x:c r="K609" s="11" t="n">
        <x:f>H609*I609*(1-J609)</x:f>
        <x:v>1900</x:v>
      </x:c>
      <x:c r="L609" s="11" t="n">
        <x:f>H609*(I609*0.62)</x:f>
        <x:v>1178</x:v>
      </x:c>
      <x:c r="M609" s="11" t="n">
        <x:f>K609-L609</x:f>
        <x:v>722</x:v>
      </x:c>
      <x:c r="N609" s="8" t="str">
        <x:v>Partner</x:v>
      </x:c>
      <x:c r="O609" s="8" t="str">
        <x:v>Bank Transfer</x:v>
      </x:c>
      <x:c r="P609" s="8" t="str">
        <x:v>Closed Won</x:v>
      </x:c>
    </x:row>
    <x:row r="610">
      <x:c r="A610" s="8" t="str">
        <x:v>ORD-2025609</x:v>
      </x:c>
      <x:c r="B610" s="9" t="n">
        <x:v>45970</x:v>
      </x:c>
      <x:c r="C610" s="8" t="str">
        <x:v>West</x:v>
      </x:c>
      <x:c r="D610" s="8" t="str">
        <x:v>Noah Davis</x:v>
      </x:c>
      <x:c r="E610" s="8" t="str">
        <x:v>NorthStar Co</x:v>
      </x:c>
      <x:c r="F610" s="8" t="str">
        <x:v>Accessories</x:v>
      </x:c>
      <x:c r="G610" s="8" t="str">
        <x:v>Keyboard Pro</x:v>
      </x:c>
      <x:c r="H610" s="10" t="n">
        <x:v>4</x:v>
      </x:c>
      <x:c r="I610" s="11" t="n">
        <x:v>95</x:v>
      </x:c>
      <x:c r="J610" s="12" t="n">
        <x:v>0</x:v>
      </x:c>
      <x:c r="K610" s="11" t="n">
        <x:f>H610*I610*(1-J610)</x:f>
        <x:v>380</x:v>
      </x:c>
      <x:c r="L610" s="11" t="n">
        <x:f>H610*(I610*0.62)</x:f>
        <x:v>235.6</x:v>
      </x:c>
      <x:c r="M610" s="11" t="n">
        <x:f>K610-L610</x:f>
        <x:v>144.4</x:v>
      </x:c>
      <x:c r="N610" s="8" t="str">
        <x:v>Online</x:v>
      </x:c>
      <x:c r="O610" s="8" t="str">
        <x:v>PayPal</x:v>
      </x:c>
      <x:c r="P610" s="8" t="str">
        <x:v>Closed Won</x:v>
      </x:c>
    </x:row>
    <x:row r="611">
      <x:c r="A611" s="8" t="str">
        <x:v>ORD-2025610</x:v>
      </x:c>
      <x:c r="B611" s="9" t="n">
        <x:v>45790</x:v>
      </x:c>
      <x:c r="C611" s="8" t="str">
        <x:v>North</x:v>
      </x:c>
      <x:c r="D611" s="8" t="str">
        <x:v>Ava Patel</x:v>
      </x:c>
      <x:c r="E611" s="8" t="str">
        <x:v>BlueSky Inc</x:v>
      </x:c>
      <x:c r="F611" s="8" t="str">
        <x:v>Software</x:v>
      </x:c>
      <x:c r="G611" s="8" t="str">
        <x:v>ProjectFlow</x:v>
      </x:c>
      <x:c r="H611" s="10" t="n">
        <x:v>3</x:v>
      </x:c>
      <x:c r="I611" s="11" t="n">
        <x:v>700</x:v>
      </x:c>
      <x:c r="J611" s="12" t="n">
        <x:v>0.1</x:v>
      </x:c>
      <x:c r="K611" s="11" t="n">
        <x:f>H611*I611*(1-J611)</x:f>
        <x:v>1890</x:v>
      </x:c>
      <x:c r="L611" s="11" t="n">
        <x:f>H611*(I611*0.62)</x:f>
        <x:v>1302</x:v>
      </x:c>
      <x:c r="M611" s="11" t="n">
        <x:f>K611-L611</x:f>
        <x:v>588</x:v>
      </x:c>
      <x:c r="N611" s="8" t="str">
        <x:v>Online</x:v>
      </x:c>
      <x:c r="O611" s="8" t="str">
        <x:v>Invoice</x:v>
      </x:c>
      <x:c r="P611" s="8" t="str">
        <x:v>Shipped</x:v>
      </x:c>
    </x:row>
    <x:row r="612">
      <x:c r="A612" s="8" t="str">
        <x:v>ORD-2025611</x:v>
      </x:c>
      <x:c r="B612" s="9" t="n">
        <x:v>45734</x:v>
      </x:c>
      <x:c r="C612" s="8" t="str">
        <x:v>North</x:v>
      </x:c>
      <x:c r="D612" s="8" t="str">
        <x:v>Ava Patel</x:v>
      </x:c>
      <x:c r="E612" s="8" t="str">
        <x:v>SilverLine Inc</x:v>
      </x:c>
      <x:c r="F612" s="8" t="str">
        <x:v>Software</x:v>
      </x:c>
      <x:c r="G612" s="8" t="str">
        <x:v>ProjectFlow</x:v>
      </x:c>
      <x:c r="H612" s="10" t="n">
        <x:v>9</x:v>
      </x:c>
      <x:c r="I612" s="11" t="n">
        <x:v>700</x:v>
      </x:c>
      <x:c r="J612" s="12" t="n">
        <x:v>0</x:v>
      </x:c>
      <x:c r="K612" s="11" t="n">
        <x:f>H612*I612*(1-J612)</x:f>
        <x:v>6300</x:v>
      </x:c>
      <x:c r="L612" s="11" t="n">
        <x:f>H612*(I612*0.62)</x:f>
        <x:v>3906</x:v>
      </x:c>
      <x:c r="M612" s="11" t="n">
        <x:f>K612-L612</x:f>
        <x:v>2394</x:v>
      </x:c>
      <x:c r="N612" s="8" t="str">
        <x:v>Online</x:v>
      </x:c>
      <x:c r="O612" s="8" t="str">
        <x:v>Invoice</x:v>
      </x:c>
      <x:c r="P612" s="8" t="str">
        <x:v>Cancelled</x:v>
      </x:c>
    </x:row>
    <x:row r="613">
      <x:c r="A613" s="8" t="str">
        <x:v>ORD-2025612</x:v>
      </x:c>
      <x:c r="B613" s="9" t="n">
        <x:v>45902</x:v>
      </x:c>
      <x:c r="C613" s="8" t="str">
        <x:v>West</x:v>
      </x:c>
      <x:c r="D613" s="8" t="str">
        <x:v>Lucas Brown</x:v>
      </x:c>
      <x:c r="E613" s="8" t="str">
        <x:v>BlueSky LLC</x:v>
      </x:c>
      <x:c r="F613" s="8" t="str">
        <x:v>Software</x:v>
      </x:c>
      <x:c r="G613" s="8" t="str">
        <x:v>ProjectFlow</x:v>
      </x:c>
      <x:c r="H613" s="10" t="n">
        <x:v>18</x:v>
      </x:c>
      <x:c r="I613" s="11" t="n">
        <x:v>700</x:v>
      </x:c>
      <x:c r="J613" s="12" t="n">
        <x:v>0</x:v>
      </x:c>
      <x:c r="K613" s="11" t="n">
        <x:f>H613*I613*(1-J613)</x:f>
        <x:v>12600</x:v>
      </x:c>
      <x:c r="L613" s="11" t="n">
        <x:f>H613*(I613*0.62)</x:f>
        <x:v>7812</x:v>
      </x:c>
      <x:c r="M613" s="11" t="n">
        <x:f>K613-L613</x:f>
        <x:v>4788</x:v>
      </x:c>
      <x:c r="N613" s="8" t="str">
        <x:v>Direct</x:v>
      </x:c>
      <x:c r="O613" s="8" t="str">
        <x:v>PayPal</x:v>
      </x:c>
      <x:c r="P613" s="8" t="str">
        <x:v>Cancelled</x:v>
      </x:c>
    </x:row>
    <x:row r="614">
      <x:c r="A614" s="8" t="str">
        <x:v>ORD-2025613</x:v>
      </x:c>
      <x:c r="B614" s="9" t="n">
        <x:v>45948</x:v>
      </x:c>
      <x:c r="C614" s="8" t="str">
        <x:v>Central</x:v>
      </x:c>
      <x:c r="D614" s="8" t="str">
        <x:v>Sophia Kim</x:v>
      </x:c>
      <x:c r="E614" s="8" t="str">
        <x:v>BrightPath Co</x:v>
      </x:c>
      <x:c r="F614" s="8" t="str">
        <x:v>Accessories</x:v>
      </x:c>
      <x:c r="G614" s="8" t="str">
        <x:v>Wireless Mouse</x:v>
      </x:c>
      <x:c r="H614" s="10" t="n">
        <x:v>22</x:v>
      </x:c>
      <x:c r="I614" s="11" t="n">
        <x:v>40</x:v>
      </x:c>
      <x:c r="J614" s="12" t="n">
        <x:v>0</x:v>
      </x:c>
      <x:c r="K614" s="11" t="n">
        <x:f>H614*I614*(1-J614)</x:f>
        <x:v>880</x:v>
      </x:c>
      <x:c r="L614" s="11" t="n">
        <x:f>H614*(I614*0.62)</x:f>
        <x:v>545.6</x:v>
      </x:c>
      <x:c r="M614" s="11" t="n">
        <x:f>K614-L614</x:f>
        <x:v>334.4</x:v>
      </x:c>
      <x:c r="N614" s="8" t="str">
        <x:v>Partner</x:v>
      </x:c>
      <x:c r="O614" s="8" t="str">
        <x:v>Credit Card</x:v>
      </x:c>
      <x:c r="P614" s="8" t="str">
        <x:v>Shipped</x:v>
      </x:c>
    </x:row>
    <x:row r="615">
      <x:c r="A615" s="8" t="str">
        <x:v>ORD-2025614</x:v>
      </x:c>
      <x:c r="B615" s="9" t="n">
        <x:v>45931</x:v>
      </x:c>
      <x:c r="C615" s="8" t="str">
        <x:v>East</x:v>
      </x:c>
      <x:c r="D615" s="8" t="str">
        <x:v>Liam Chen</x:v>
      </x:c>
      <x:c r="E615" s="8" t="str">
        <x:v>GoldenGate Co</x:v>
      </x:c>
      <x:c r="F615" s="8" t="str">
        <x:v>Software</x:v>
      </x:c>
      <x:c r="G615" s="8" t="str">
        <x:v>HR Suite</x:v>
      </x:c>
      <x:c r="H615" s="10" t="n">
        <x:v>25</x:v>
      </x:c>
      <x:c r="I615" s="11" t="n">
        <x:v>950</x:v>
      </x:c>
      <x:c r="J615" s="12" t="n">
        <x:v>0.2</x:v>
      </x:c>
      <x:c r="K615" s="11" t="n">
        <x:f>H615*I615*(1-J615)</x:f>
        <x:v>19000</x:v>
      </x:c>
      <x:c r="L615" s="11" t="n">
        <x:f>H615*(I615*0.62)</x:f>
        <x:v>14725</x:v>
      </x:c>
      <x:c r="M615" s="11" t="n">
        <x:f>K615-L615</x:f>
        <x:v>4275</x:v>
      </x:c>
      <x:c r="N615" s="8" t="str">
        <x:v>Partner</x:v>
      </x:c>
      <x:c r="O615" s="8" t="str">
        <x:v>Bank Transfer</x:v>
      </x:c>
      <x:c r="P615" s="8" t="str">
        <x:v>Closed Won</x:v>
      </x:c>
    </x:row>
    <x:row r="616">
      <x:c r="A616" s="8" t="str">
        <x:v>ORD-2025615</x:v>
      </x:c>
      <x:c r="B616" s="9" t="n">
        <x:v>45996</x:v>
      </x:c>
      <x:c r="C616" s="8" t="str">
        <x:v>South</x:v>
      </x:c>
      <x:c r="D616" s="8" t="str">
        <x:v>Ethan Garcia</x:v>
      </x:c>
      <x:c r="E616" s="8" t="str">
        <x:v>SilverLine Inc</x:v>
      </x:c>
      <x:c r="F616" s="8" t="str">
        <x:v>Software</x:v>
      </x:c>
      <x:c r="G616" s="8" t="str">
        <x:v>ProjectFlow</x:v>
      </x:c>
      <x:c r="H616" s="10" t="n">
        <x:v>4</x:v>
      </x:c>
      <x:c r="I616" s="11" t="n">
        <x:v>700</x:v>
      </x:c>
      <x:c r="J616" s="12" t="n">
        <x:v>0.15</x:v>
      </x:c>
      <x:c r="K616" s="11" t="n">
        <x:f>H616*I616*(1-J616)</x:f>
        <x:v>2380</x:v>
      </x:c>
      <x:c r="L616" s="11" t="n">
        <x:f>H616*(I616*0.62)</x:f>
        <x:v>1736</x:v>
      </x:c>
      <x:c r="M616" s="11" t="n">
        <x:f>K616-L616</x:f>
        <x:v>644</x:v>
      </x:c>
      <x:c r="N616" s="8" t="str">
        <x:v>Online</x:v>
      </x:c>
      <x:c r="O616" s="8" t="str">
        <x:v>Invoice</x:v>
      </x:c>
      <x:c r="P616" s="8" t="str">
        <x:v>Pending</x:v>
      </x:c>
    </x:row>
    <x:row r="617">
      <x:c r="A617" s="8" t="str">
        <x:v>ORD-2025616</x:v>
      </x:c>
      <x:c r="B617" s="9" t="n">
        <x:v>45729</x:v>
      </x:c>
      <x:c r="C617" s="8" t="str">
        <x:v>North</x:v>
      </x:c>
      <x:c r="D617" s="8" t="str">
        <x:v>Mia Johnson</x:v>
      </x:c>
      <x:c r="E617" s="8" t="str">
        <x:v>Acme Group</x:v>
      </x:c>
      <x:c r="F617" s="8" t="str">
        <x:v>Accessories</x:v>
      </x:c>
      <x:c r="G617" s="8" t="str">
        <x:v>Keyboard Pro</x:v>
      </x:c>
      <x:c r="H617" s="10" t="n">
        <x:v>24</x:v>
      </x:c>
      <x:c r="I617" s="11" t="n">
        <x:v>95</x:v>
      </x:c>
      <x:c r="J617" s="12" t="n">
        <x:v>0.1</x:v>
      </x:c>
      <x:c r="K617" s="11" t="n">
        <x:f>H617*I617*(1-J617)</x:f>
        <x:v>2052</x:v>
      </x:c>
      <x:c r="L617" s="11" t="n">
        <x:f>H617*(I617*0.62)</x:f>
        <x:v>1413.6</x:v>
      </x:c>
      <x:c r="M617" s="11" t="n">
        <x:f>K617-L617</x:f>
        <x:v>638.4000000000001</x:v>
      </x:c>
      <x:c r="N617" s="8" t="str">
        <x:v>Direct</x:v>
      </x:c>
      <x:c r="O617" s="8" t="str">
        <x:v>PayPal</x:v>
      </x:c>
      <x:c r="P617" s="8" t="str">
        <x:v>Closed Won</x:v>
      </x:c>
    </x:row>
    <x:row r="618">
      <x:c r="A618" s="8" t="str">
        <x:v>ORD-2025617</x:v>
      </x:c>
      <x:c r="B618" s="9" t="n">
        <x:v>45931</x:v>
      </x:c>
      <x:c r="C618" s="8" t="str">
        <x:v>West</x:v>
      </x:c>
      <x:c r="D618" s="8" t="str">
        <x:v>Ava Patel</x:v>
      </x:c>
      <x:c r="E618" s="8" t="str">
        <x:v>Summit LLC</x:v>
      </x:c>
      <x:c r="F618" s="8" t="str">
        <x:v>Services</x:v>
      </x:c>
      <x:c r="G618" s="8" t="str">
        <x:v>Consulting Day</x:v>
      </x:c>
      <x:c r="H618" s="10" t="n">
        <x:v>11</x:v>
      </x:c>
      <x:c r="I618" s="11" t="n">
        <x:v>1400</x:v>
      </x:c>
      <x:c r="J618" s="12" t="n">
        <x:v>0</x:v>
      </x:c>
      <x:c r="K618" s="11" t="n">
        <x:f>H618*I618*(1-J618)</x:f>
        <x:v>15400</x:v>
      </x:c>
      <x:c r="L618" s="11" t="n">
        <x:f>H618*(I618*0.62)</x:f>
        <x:v>9548</x:v>
      </x:c>
      <x:c r="M618" s="11" t="n">
        <x:f>K618-L618</x:f>
        <x:v>5852</x:v>
      </x:c>
      <x:c r="N618" s="8" t="str">
        <x:v>Partner</x:v>
      </x:c>
      <x:c r="O618" s="8" t="str">
        <x:v>Credit Card</x:v>
      </x:c>
      <x:c r="P618" s="8" t="str">
        <x:v>Closed Won</x:v>
      </x:c>
    </x:row>
    <x:row r="619">
      <x:c r="A619" s="8" t="str">
        <x:v>ORD-2025618</x:v>
      </x:c>
      <x:c r="B619" s="9" t="n">
        <x:v>46005</x:v>
      </x:c>
      <x:c r="C619" s="8" t="str">
        <x:v>Central</x:v>
      </x:c>
      <x:c r="D619" s="8" t="str">
        <x:v>Noah Davis</x:v>
      </x:c>
      <x:c r="E619" s="8" t="str">
        <x:v>Ironwood Co</x:v>
      </x:c>
      <x:c r="F619" s="8" t="str">
        <x:v>Hardware</x:v>
      </x:c>
      <x:c r="G619" s="8" t="str">
        <x:v>Monitor 27</x:v>
      </x:c>
      <x:c r="H619" s="10" t="n">
        <x:v>8</x:v>
      </x:c>
      <x:c r="I619" s="11" t="n">
        <x:v>320</x:v>
      </x:c>
      <x:c r="J619" s="12" t="n">
        <x:v>0</x:v>
      </x:c>
      <x:c r="K619" s="11" t="n">
        <x:f>H619*I619*(1-J619)</x:f>
        <x:v>2560</x:v>
      </x:c>
      <x:c r="L619" s="11" t="n">
        <x:f>H619*(I619*0.62)</x:f>
        <x:v>1587.2</x:v>
      </x:c>
      <x:c r="M619" s="11" t="n">
        <x:f>K619-L619</x:f>
        <x:v>972.8</x:v>
      </x:c>
      <x:c r="N619" s="8" t="str">
        <x:v>Direct</x:v>
      </x:c>
      <x:c r="O619" s="8" t="str">
        <x:v>Bank Transfer</x:v>
      </x:c>
      <x:c r="P619" s="8" t="str">
        <x:v>Pending</x:v>
      </x:c>
    </x:row>
    <x:row r="620">
      <x:c r="A620" s="8" t="str">
        <x:v>ORD-2025619</x:v>
      </x:c>
      <x:c r="B620" s="9" t="n">
        <x:v>45974</x:v>
      </x:c>
      <x:c r="C620" s="8" t="str">
        <x:v>North</x:v>
      </x:c>
      <x:c r="D620" s="8" t="str">
        <x:v>Mia Johnson</x:v>
      </x:c>
      <x:c r="E620" s="8" t="str">
        <x:v>Urban LLC</x:v>
      </x:c>
      <x:c r="F620" s="8" t="str">
        <x:v>Software</x:v>
      </x:c>
      <x:c r="G620" s="8" t="str">
        <x:v>ProjectFlow</x:v>
      </x:c>
      <x:c r="H620" s="10" t="n">
        <x:v>1</x:v>
      </x:c>
      <x:c r="I620" s="11" t="n">
        <x:v>700</x:v>
      </x:c>
      <x:c r="J620" s="12" t="n">
        <x:v>0</x:v>
      </x:c>
      <x:c r="K620" s="11" t="n">
        <x:f>H620*I620*(1-J620)</x:f>
        <x:v>700</x:v>
      </x:c>
      <x:c r="L620" s="11" t="n">
        <x:f>H620*(I620*0.62)</x:f>
        <x:v>434</x:v>
      </x:c>
      <x:c r="M620" s="11" t="n">
        <x:f>K620-L620</x:f>
        <x:v>266</x:v>
      </x:c>
      <x:c r="N620" s="8" t="str">
        <x:v>Online</x:v>
      </x:c>
      <x:c r="O620" s="8" t="str">
        <x:v>Credit Card</x:v>
      </x:c>
      <x:c r="P620" s="8" t="str">
        <x:v>Cancelled</x:v>
      </x:c>
    </x:row>
    <x:row r="621">
      <x:c r="A621" s="8" t="str">
        <x:v>ORD-2025620</x:v>
      </x:c>
      <x:c r="B621" s="9" t="n">
        <x:v>45970</x:v>
      </x:c>
      <x:c r="C621" s="8" t="str">
        <x:v>South</x:v>
      </x:c>
      <x:c r="D621" s="8" t="str">
        <x:v>Emma Martin</x:v>
      </x:c>
      <x:c r="E621" s="8" t="str">
        <x:v>BlueSky LLC</x:v>
      </x:c>
      <x:c r="F621" s="8" t="str">
        <x:v>Software</x:v>
      </x:c>
      <x:c r="G621" s="8" t="str">
        <x:v>ProjectFlow</x:v>
      </x:c>
      <x:c r="H621" s="10" t="n">
        <x:v>4</x:v>
      </x:c>
      <x:c r="I621" s="11" t="n">
        <x:v>700</x:v>
      </x:c>
      <x:c r="J621" s="12" t="n">
        <x:v>0</x:v>
      </x:c>
      <x:c r="K621" s="11" t="n">
        <x:f>H621*I621*(1-J621)</x:f>
        <x:v>2800</x:v>
      </x:c>
      <x:c r="L621" s="11" t="n">
        <x:f>H621*(I621*0.62)</x:f>
        <x:v>1736</x:v>
      </x:c>
      <x:c r="M621" s="11" t="n">
        <x:f>K621-L621</x:f>
        <x:v>1064</x:v>
      </x:c>
      <x:c r="N621" s="8" t="str">
        <x:v>Partner</x:v>
      </x:c>
      <x:c r="O621" s="8" t="str">
        <x:v>Bank Transfer</x:v>
      </x:c>
      <x:c r="P621" s="8" t="str">
        <x:v>Closed Won</x:v>
      </x:c>
    </x:row>
    <x:row r="622">
      <x:c r="A622" s="8" t="str">
        <x:v>ORD-2025621</x:v>
      </x:c>
      <x:c r="B622" s="9" t="n">
        <x:v>45830</x:v>
      </x:c>
      <x:c r="C622" s="8" t="str">
        <x:v>West</x:v>
      </x:c>
      <x:c r="D622" s="8" t="str">
        <x:v>Sophia Kim</x:v>
      </x:c>
      <x:c r="E622" s="8" t="str">
        <x:v>Pioneer Group</x:v>
      </x:c>
      <x:c r="F622" s="8" t="str">
        <x:v>Hardware</x:v>
      </x:c>
      <x:c r="G622" s="8" t="str">
        <x:v>Monitor 27</x:v>
      </x:c>
      <x:c r="H622" s="10" t="n">
        <x:v>22</x:v>
      </x:c>
      <x:c r="I622" s="11" t="n">
        <x:v>320</x:v>
      </x:c>
      <x:c r="J622" s="12" t="n">
        <x:v>0.1</x:v>
      </x:c>
      <x:c r="K622" s="11" t="n">
        <x:f>H622*I622*(1-J622)</x:f>
        <x:v>6336</x:v>
      </x:c>
      <x:c r="L622" s="11" t="n">
        <x:f>H622*(I622*0.62)</x:f>
        <x:v>4364.8</x:v>
      </x:c>
      <x:c r="M622" s="11" t="n">
        <x:f>K622-L622</x:f>
        <x:v>1971.1999999999998</x:v>
      </x:c>
      <x:c r="N622" s="8" t="str">
        <x:v>Online</x:v>
      </x:c>
      <x:c r="O622" s="8" t="str">
        <x:v>Bank Transfer</x:v>
      </x:c>
      <x:c r="P622" s="8" t="str">
        <x:v>Closed Won</x:v>
      </x:c>
    </x:row>
    <x:row r="623">
      <x:c r="A623" s="8" t="str">
        <x:v>ORD-2025622</x:v>
      </x:c>
      <x:c r="B623" s="9" t="n">
        <x:v>45961</x:v>
      </x:c>
      <x:c r="C623" s="8" t="str">
        <x:v>South</x:v>
      </x:c>
      <x:c r="D623" s="8" t="str">
        <x:v>Sophia Kim</x:v>
      </x:c>
      <x:c r="E623" s="8" t="str">
        <x:v>BlueSky LLC</x:v>
      </x:c>
      <x:c r="F623" s="8" t="str">
        <x:v>Hardware</x:v>
      </x:c>
      <x:c r="G623" s="8" t="str">
        <x:v>Laptop X</x:v>
      </x:c>
      <x:c r="H623" s="10" t="n">
        <x:v>4</x:v>
      </x:c>
      <x:c r="I623" s="11" t="n">
        <x:v>1500</x:v>
      </x:c>
      <x:c r="J623" s="12" t="n">
        <x:v>0</x:v>
      </x:c>
      <x:c r="K623" s="11" t="n">
        <x:f>H623*I623*(1-J623)</x:f>
        <x:v>6000</x:v>
      </x:c>
      <x:c r="L623" s="11" t="n">
        <x:f>H623*(I623*0.62)</x:f>
        <x:v>3720</x:v>
      </x:c>
      <x:c r="M623" s="11" t="n">
        <x:f>K623-L623</x:f>
        <x:v>2280</x:v>
      </x:c>
      <x:c r="N623" s="8" t="str">
        <x:v>Direct</x:v>
      </x:c>
      <x:c r="O623" s="8" t="str">
        <x:v>PayPal</x:v>
      </x:c>
      <x:c r="P623" s="8" t="str">
        <x:v>Closed Won</x:v>
      </x:c>
    </x:row>
    <x:row r="624">
      <x:c r="A624" s="8" t="str">
        <x:v>ORD-2025623</x:v>
      </x:c>
      <x:c r="B624" s="9" t="n">
        <x:v>45882</x:v>
      </x:c>
      <x:c r="C624" s="8" t="str">
        <x:v>South</x:v>
      </x:c>
      <x:c r="D624" s="8" t="str">
        <x:v>Emma Martin</x:v>
      </x:c>
      <x:c r="E624" s="8" t="str">
        <x:v>Summit Inc</x:v>
      </x:c>
      <x:c r="F624" s="8" t="str">
        <x:v>Services</x:v>
      </x:c>
      <x:c r="G624" s="8" t="str">
        <x:v>Training</x:v>
      </x:c>
      <x:c r="H624" s="10" t="n">
        <x:v>5</x:v>
      </x:c>
      <x:c r="I624" s="11" t="n">
        <x:v>900</x:v>
      </x:c>
      <x:c r="J624" s="12" t="n">
        <x:v>0</x:v>
      </x:c>
      <x:c r="K624" s="11" t="n">
        <x:f>H624*I624*(1-J624)</x:f>
        <x:v>4500</x:v>
      </x:c>
      <x:c r="L624" s="11" t="n">
        <x:f>H624*(I624*0.62)</x:f>
        <x:v>2790</x:v>
      </x:c>
      <x:c r="M624" s="11" t="n">
        <x:f>K624-L624</x:f>
        <x:v>1710</x:v>
      </x:c>
      <x:c r="N624" s="8" t="str">
        <x:v>Online</x:v>
      </x:c>
      <x:c r="O624" s="8" t="str">
        <x:v>PayPal</x:v>
      </x:c>
      <x:c r="P624" s="8" t="str">
        <x:v>Shipped</x:v>
      </x:c>
    </x:row>
    <x:row r="625">
      <x:c r="A625" s="8" t="str">
        <x:v>ORD-2025624</x:v>
      </x:c>
      <x:c r="B625" s="9" t="n">
        <x:v>45699</x:v>
      </x:c>
      <x:c r="C625" s="8" t="str">
        <x:v>North</x:v>
      </x:c>
      <x:c r="D625" s="8" t="str">
        <x:v>Ava Patel</x:v>
      </x:c>
      <x:c r="E625" s="8" t="str">
        <x:v>GreenLeaf Co</x:v>
      </x:c>
      <x:c r="F625" s="8" t="str">
        <x:v>Software</x:v>
      </x:c>
      <x:c r="G625" s="8" t="str">
        <x:v>ProjectFlow</x:v>
      </x:c>
      <x:c r="H625" s="10" t="n">
        <x:v>3</x:v>
      </x:c>
      <x:c r="I625" s="11" t="n">
        <x:v>700</x:v>
      </x:c>
      <x:c r="J625" s="12" t="n">
        <x:v>0.15</x:v>
      </x:c>
      <x:c r="K625" s="11" t="n">
        <x:f>H625*I625*(1-J625)</x:f>
        <x:v>1785</x:v>
      </x:c>
      <x:c r="L625" s="11" t="n">
        <x:f>H625*(I625*0.62)</x:f>
        <x:v>1302</x:v>
      </x:c>
      <x:c r="M625" s="11" t="n">
        <x:f>K625-L625</x:f>
        <x:v>483</x:v>
      </x:c>
      <x:c r="N625" s="8" t="str">
        <x:v>Online</x:v>
      </x:c>
      <x:c r="O625" s="8" t="str">
        <x:v>Invoice</x:v>
      </x:c>
      <x:c r="P625" s="8" t="str">
        <x:v>Closed Won</x:v>
      </x:c>
    </x:row>
    <x:row r="626">
      <x:c r="A626" s="8" t="str">
        <x:v>ORD-2025625</x:v>
      </x:c>
      <x:c r="B626" s="9" t="n">
        <x:v>45763</x:v>
      </x:c>
      <x:c r="C626" s="8" t="str">
        <x:v>South</x:v>
      </x:c>
      <x:c r="D626" s="8" t="str">
        <x:v>Ethan Garcia</x:v>
      </x:c>
      <x:c r="E626" s="8" t="str">
        <x:v>Southridge Co</x:v>
      </x:c>
      <x:c r="F626" s="8" t="str">
        <x:v>Accessories</x:v>
      </x:c>
      <x:c r="G626" s="8" t="str">
        <x:v>Keyboard Pro</x:v>
      </x:c>
      <x:c r="H626" s="10" t="n">
        <x:v>15</x:v>
      </x:c>
      <x:c r="I626" s="11" t="n">
        <x:v>95</x:v>
      </x:c>
      <x:c r="J626" s="12" t="n">
        <x:v>0.05</x:v>
      </x:c>
      <x:c r="K626" s="11" t="n">
        <x:f>H626*I626*(1-J626)</x:f>
        <x:v>1353.75</x:v>
      </x:c>
      <x:c r="L626" s="11" t="n">
        <x:f>H626*(I626*0.62)</x:f>
        <x:v>883.5</x:v>
      </x:c>
      <x:c r="M626" s="11" t="n">
        <x:f>K626-L626</x:f>
        <x:v>470.25</x:v>
      </x:c>
      <x:c r="N626" s="8" t="str">
        <x:v>Direct</x:v>
      </x:c>
      <x:c r="O626" s="8" t="str">
        <x:v>Bank Transfer</x:v>
      </x:c>
      <x:c r="P626" s="8" t="str">
        <x:v>Shipped</x:v>
      </x:c>
    </x:row>
    <x:row r="627">
      <x:c r="A627" s="8" t="str">
        <x:v>ORD-2025626</x:v>
      </x:c>
      <x:c r="B627" s="9" t="n">
        <x:v>45913</x:v>
      </x:c>
      <x:c r="C627" s="8" t="str">
        <x:v>Central</x:v>
      </x:c>
      <x:c r="D627" s="8" t="str">
        <x:v>Liam Chen</x:v>
      </x:c>
      <x:c r="E627" s="8" t="str">
        <x:v>Vertex Co</x:v>
      </x:c>
      <x:c r="F627" s="8" t="str">
        <x:v>Software</x:v>
      </x:c>
      <x:c r="G627" s="8" t="str">
        <x:v>Analytics Cloud</x:v>
      </x:c>
      <x:c r="H627" s="10" t="n">
        <x:v>12</x:v>
      </x:c>
      <x:c r="I627" s="11" t="n">
        <x:v>1800</x:v>
      </x:c>
      <x:c r="J627" s="12" t="n">
        <x:v>0.05</x:v>
      </x:c>
      <x:c r="K627" s="11" t="n">
        <x:f>H627*I627*(1-J627)</x:f>
        <x:v>20520</x:v>
      </x:c>
      <x:c r="L627" s="11" t="n">
        <x:f>H627*(I627*0.62)</x:f>
        <x:v>13392</x:v>
      </x:c>
      <x:c r="M627" s="11" t="n">
        <x:f>K627-L627</x:f>
        <x:v>7128</x:v>
      </x:c>
      <x:c r="N627" s="8" t="str">
        <x:v>Direct</x:v>
      </x:c>
      <x:c r="O627" s="8" t="str">
        <x:v>Bank Transfer</x:v>
      </x:c>
      <x:c r="P627" s="8" t="str">
        <x:v>Closed Won</x:v>
      </x:c>
    </x:row>
    <x:row r="628">
      <x:c r="A628" s="8" t="str">
        <x:v>ORD-2025627</x:v>
      </x:c>
      <x:c r="B628" s="9" t="n">
        <x:v>45934</x:v>
      </x:c>
      <x:c r="C628" s="8" t="str">
        <x:v>Central</x:v>
      </x:c>
      <x:c r="D628" s="8" t="str">
        <x:v>Mia Johnson</x:v>
      </x:c>
      <x:c r="E628" s="8" t="str">
        <x:v>GoldenGate Group</x:v>
      </x:c>
      <x:c r="F628" s="8" t="str">
        <x:v>Software</x:v>
      </x:c>
      <x:c r="G628" s="8" t="str">
        <x:v>HR Suite</x:v>
      </x:c>
      <x:c r="H628" s="10" t="n">
        <x:v>25</x:v>
      </x:c>
      <x:c r="I628" s="11" t="n">
        <x:v>950</x:v>
      </x:c>
      <x:c r="J628" s="12" t="n">
        <x:v>0.15</x:v>
      </x:c>
      <x:c r="K628" s="11" t="n">
        <x:f>H628*I628*(1-J628)</x:f>
        <x:v>20187.5</x:v>
      </x:c>
      <x:c r="L628" s="11" t="n">
        <x:f>H628*(I628*0.62)</x:f>
        <x:v>14725</x:v>
      </x:c>
      <x:c r="M628" s="11" t="n">
        <x:f>K628-L628</x:f>
        <x:v>5462.5</x:v>
      </x:c>
      <x:c r="N628" s="8" t="str">
        <x:v>Online</x:v>
      </x:c>
      <x:c r="O628" s="8" t="str">
        <x:v>Bank Transfer</x:v>
      </x:c>
      <x:c r="P628" s="8" t="str">
        <x:v>Closed Won</x:v>
      </x:c>
    </x:row>
    <x:row r="629">
      <x:c r="A629" s="8" t="str">
        <x:v>ORD-2025628</x:v>
      </x:c>
      <x:c r="B629" s="9" t="n">
        <x:v>45734</x:v>
      </x:c>
      <x:c r="C629" s="8" t="str">
        <x:v>West</x:v>
      </x:c>
      <x:c r="D629" s="8" t="str">
        <x:v>Olivia Wilson</x:v>
      </x:c>
      <x:c r="E629" s="8" t="str">
        <x:v>GreenLeaf Co</x:v>
      </x:c>
      <x:c r="F629" s="8" t="str">
        <x:v>Hardware</x:v>
      </x:c>
      <x:c r="G629" s="8" t="str">
        <x:v>Laptop X</x:v>
      </x:c>
      <x:c r="H629" s="10" t="n">
        <x:v>6</x:v>
      </x:c>
      <x:c r="I629" s="11" t="n">
        <x:v>1500</x:v>
      </x:c>
      <x:c r="J629" s="12" t="n">
        <x:v>0.15</x:v>
      </x:c>
      <x:c r="K629" s="11" t="n">
        <x:f>H629*I629*(1-J629)</x:f>
        <x:v>7650</x:v>
      </x:c>
      <x:c r="L629" s="11" t="n">
        <x:f>H629*(I629*0.62)</x:f>
        <x:v>5580</x:v>
      </x:c>
      <x:c r="M629" s="11" t="n">
        <x:f>K629-L629</x:f>
        <x:v>2070</x:v>
      </x:c>
      <x:c r="N629" s="8" t="str">
        <x:v>Direct</x:v>
      </x:c>
      <x:c r="O629" s="8" t="str">
        <x:v>Credit Card</x:v>
      </x:c>
      <x:c r="P629" s="8" t="str">
        <x:v>Shipped</x:v>
      </x:c>
    </x:row>
    <x:row r="630">
      <x:c r="A630" s="8" t="str">
        <x:v>ORD-2025629</x:v>
      </x:c>
      <x:c r="B630" s="9" t="n">
        <x:v>45880</x:v>
      </x:c>
      <x:c r="C630" s="8" t="str">
        <x:v>East</x:v>
      </x:c>
      <x:c r="D630" s="8" t="str">
        <x:v>Sophia Kim</x:v>
      </x:c>
      <x:c r="E630" s="8" t="str">
        <x:v>Nova Co</x:v>
      </x:c>
      <x:c r="F630" s="8" t="str">
        <x:v>Services</x:v>
      </x:c>
      <x:c r="G630" s="8" t="str">
        <x:v>Training</x:v>
      </x:c>
      <x:c r="H630" s="10" t="n">
        <x:v>25</x:v>
      </x:c>
      <x:c r="I630" s="11" t="n">
        <x:v>900</x:v>
      </x:c>
      <x:c r="J630" s="12" t="n">
        <x:v>0.05</x:v>
      </x:c>
      <x:c r="K630" s="11" t="n">
        <x:f>H630*I630*(1-J630)</x:f>
        <x:v>21375</x:v>
      </x:c>
      <x:c r="L630" s="11" t="n">
        <x:f>H630*(I630*0.62)</x:f>
        <x:v>13950</x:v>
      </x:c>
      <x:c r="M630" s="11" t="n">
        <x:f>K630-L630</x:f>
        <x:v>7425</x:v>
      </x:c>
      <x:c r="N630" s="8" t="str">
        <x:v>Direct</x:v>
      </x:c>
      <x:c r="O630" s="8" t="str">
        <x:v>Credit Card</x:v>
      </x:c>
      <x:c r="P630" s="8" t="str">
        <x:v>Shipped</x:v>
      </x:c>
    </x:row>
    <x:row r="631">
      <x:c r="A631" s="8" t="str">
        <x:v>ORD-2025630</x:v>
      </x:c>
      <x:c r="B631" s="9" t="n">
        <x:v>45672</x:v>
      </x:c>
      <x:c r="C631" s="8" t="str">
        <x:v>West</x:v>
      </x:c>
      <x:c r="D631" s="8" t="str">
        <x:v>Mason Lee</x:v>
      </x:c>
      <x:c r="E631" s="8" t="str">
        <x:v>Pioneer Co</x:v>
      </x:c>
      <x:c r="F631" s="8" t="str">
        <x:v>Hardware</x:v>
      </x:c>
      <x:c r="G631" s="8" t="str">
        <x:v>Tablet Air</x:v>
      </x:c>
      <x:c r="H631" s="10" t="n">
        <x:v>3</x:v>
      </x:c>
      <x:c r="I631" s="11" t="n">
        <x:v>820</x:v>
      </x:c>
      <x:c r="J631" s="12" t="n">
        <x:v>0</x:v>
      </x:c>
      <x:c r="K631" s="11" t="n">
        <x:f>H631*I631*(1-J631)</x:f>
        <x:v>2460</x:v>
      </x:c>
      <x:c r="L631" s="11" t="n">
        <x:f>H631*(I631*0.62)</x:f>
        <x:v>1525.1999999999998</x:v>
      </x:c>
      <x:c r="M631" s="11" t="n">
        <x:f>K631-L631</x:f>
        <x:v>934.8000000000002</x:v>
      </x:c>
      <x:c r="N631" s="8" t="str">
        <x:v>Online</x:v>
      </x:c>
      <x:c r="O631" s="8" t="str">
        <x:v>PayPal</x:v>
      </x:c>
      <x:c r="P631" s="8" t="str">
        <x:v>Shipped</x:v>
      </x:c>
    </x:row>
    <x:row r="632">
      <x:c r="A632" s="8" t="str">
        <x:v>ORD-2025631</x:v>
      </x:c>
      <x:c r="B632" s="9" t="n">
        <x:v>45759</x:v>
      </x:c>
      <x:c r="C632" s="8" t="str">
        <x:v>East</x:v>
      </x:c>
      <x:c r="D632" s="8" t="str">
        <x:v>Mia Johnson</x:v>
      </x:c>
      <x:c r="E632" s="8" t="str">
        <x:v>Pioneer Co</x:v>
      </x:c>
      <x:c r="F632" s="8" t="str">
        <x:v>Services</x:v>
      </x:c>
      <x:c r="G632" s="8" t="str">
        <x:v>Consulting Day</x:v>
      </x:c>
      <x:c r="H632" s="10" t="n">
        <x:v>11</x:v>
      </x:c>
      <x:c r="I632" s="11" t="n">
        <x:v>1400</x:v>
      </x:c>
      <x:c r="J632" s="12" t="n">
        <x:v>0</x:v>
      </x:c>
      <x:c r="K632" s="11" t="n">
        <x:f>H632*I632*(1-J632)</x:f>
        <x:v>15400</x:v>
      </x:c>
      <x:c r="L632" s="11" t="n">
        <x:f>H632*(I632*0.62)</x:f>
        <x:v>9548</x:v>
      </x:c>
      <x:c r="M632" s="11" t="n">
        <x:f>K632-L632</x:f>
        <x:v>5852</x:v>
      </x:c>
      <x:c r="N632" s="8" t="str">
        <x:v>Direct</x:v>
      </x:c>
      <x:c r="O632" s="8" t="str">
        <x:v>Bank Transfer</x:v>
      </x:c>
      <x:c r="P632" s="8" t="str">
        <x:v>Shipped</x:v>
      </x:c>
    </x:row>
    <x:row r="633">
      <x:c r="A633" s="8" t="str">
        <x:v>ORD-2025632</x:v>
      </x:c>
      <x:c r="B633" s="9" t="n">
        <x:v>45770</x:v>
      </x:c>
      <x:c r="C633" s="8" t="str">
        <x:v>North</x:v>
      </x:c>
      <x:c r="D633" s="8" t="str">
        <x:v>Olivia Wilson</x:v>
      </x:c>
      <x:c r="E633" s="8" t="str">
        <x:v>Ironwood Co</x:v>
      </x:c>
      <x:c r="F633" s="8" t="str">
        <x:v>Hardware</x:v>
      </x:c>
      <x:c r="G633" s="8" t="str">
        <x:v>Monitor 27</x:v>
      </x:c>
      <x:c r="H633" s="10" t="n">
        <x:v>16</x:v>
      </x:c>
      <x:c r="I633" s="11" t="n">
        <x:v>320</x:v>
      </x:c>
      <x:c r="J633" s="12" t="n">
        <x:v>0</x:v>
      </x:c>
      <x:c r="K633" s="11" t="n">
        <x:f>H633*I633*(1-J633)</x:f>
        <x:v>5120</x:v>
      </x:c>
      <x:c r="L633" s="11" t="n">
        <x:f>H633*(I633*0.62)</x:f>
        <x:v>3174.4</x:v>
      </x:c>
      <x:c r="M633" s="11" t="n">
        <x:f>K633-L633</x:f>
        <x:v>1945.6</x:v>
      </x:c>
      <x:c r="N633" s="8" t="str">
        <x:v>Partner</x:v>
      </x:c>
      <x:c r="O633" s="8" t="str">
        <x:v>Bank Transfer</x:v>
      </x:c>
      <x:c r="P633" s="8" t="str">
        <x:v>Closed Won</x:v>
      </x:c>
    </x:row>
    <x:row r="634">
      <x:c r="A634" s="8" t="str">
        <x:v>ORD-2025633</x:v>
      </x:c>
      <x:c r="B634" s="9" t="n">
        <x:v>45856</x:v>
      </x:c>
      <x:c r="C634" s="8" t="str">
        <x:v>East</x:v>
      </x:c>
      <x:c r="D634" s="8" t="str">
        <x:v>Noah Davis</x:v>
      </x:c>
      <x:c r="E634" s="8" t="str">
        <x:v>GoldenGate Co</x:v>
      </x:c>
      <x:c r="F634" s="8" t="str">
        <x:v>Accessories</x:v>
      </x:c>
      <x:c r="G634" s="8" t="str">
        <x:v>Keyboard Pro</x:v>
      </x:c>
      <x:c r="H634" s="10" t="n">
        <x:v>24</x:v>
      </x:c>
      <x:c r="I634" s="11" t="n">
        <x:v>95</x:v>
      </x:c>
      <x:c r="J634" s="12" t="n">
        <x:v>0</x:v>
      </x:c>
      <x:c r="K634" s="11" t="n">
        <x:f>H634*I634*(1-J634)</x:f>
        <x:v>2280</x:v>
      </x:c>
      <x:c r="L634" s="11" t="n">
        <x:f>H634*(I634*0.62)</x:f>
        <x:v>1413.6</x:v>
      </x:c>
      <x:c r="M634" s="11" t="n">
        <x:f>K634-L634</x:f>
        <x:v>866.4000000000001</x:v>
      </x:c>
      <x:c r="N634" s="8" t="str">
        <x:v>Online</x:v>
      </x:c>
      <x:c r="O634" s="8" t="str">
        <x:v>Invoice</x:v>
      </x:c>
      <x:c r="P634" s="8" t="str">
        <x:v>Cancelled</x:v>
      </x:c>
    </x:row>
    <x:row r="635">
      <x:c r="A635" s="8" t="str">
        <x:v>ORD-2025634</x:v>
      </x:c>
      <x:c r="B635" s="9" t="n">
        <x:v>45723</x:v>
      </x:c>
      <x:c r="C635" s="8" t="str">
        <x:v>North</x:v>
      </x:c>
      <x:c r="D635" s="8" t="str">
        <x:v>Emma Martin</x:v>
      </x:c>
      <x:c r="E635" s="8" t="str">
        <x:v>Summit Group</x:v>
      </x:c>
      <x:c r="F635" s="8" t="str">
        <x:v>Hardware</x:v>
      </x:c>
      <x:c r="G635" s="8" t="str">
        <x:v>Dock Station</x:v>
      </x:c>
      <x:c r="H635" s="10" t="n">
        <x:v>9</x:v>
      </x:c>
      <x:c r="I635" s="11" t="n">
        <x:v>180</x:v>
      </x:c>
      <x:c r="J635" s="12" t="n">
        <x:v>0</x:v>
      </x:c>
      <x:c r="K635" s="11" t="n">
        <x:f>H635*I635*(1-J635)</x:f>
        <x:v>1620</x:v>
      </x:c>
      <x:c r="L635" s="11" t="n">
        <x:f>H635*(I635*0.62)</x:f>
        <x:v>1004.4</x:v>
      </x:c>
      <x:c r="M635" s="11" t="n">
        <x:f>K635-L635</x:f>
        <x:v>615.6</x:v>
      </x:c>
      <x:c r="N635" s="8" t="str">
        <x:v>Direct</x:v>
      </x:c>
      <x:c r="O635" s="8" t="str">
        <x:v>PayPal</x:v>
      </x:c>
      <x:c r="P635" s="8" t="str">
        <x:v>Pending</x:v>
      </x:c>
    </x:row>
    <x:row r="636">
      <x:c r="A636" s="8" t="str">
        <x:v>ORD-2025635</x:v>
      </x:c>
      <x:c r="B636" s="9" t="n">
        <x:v>45770</x:v>
      </x:c>
      <x:c r="C636" s="8" t="str">
        <x:v>East</x:v>
      </x:c>
      <x:c r="D636" s="8" t="str">
        <x:v>Emma Martin</x:v>
      </x:c>
      <x:c r="E636" s="8" t="str">
        <x:v>GreenLeaf LLC</x:v>
      </x:c>
      <x:c r="F636" s="8" t="str">
        <x:v>Hardware</x:v>
      </x:c>
      <x:c r="G636" s="8" t="str">
        <x:v>Dock Station</x:v>
      </x:c>
      <x:c r="H636" s="10" t="n">
        <x:v>21</x:v>
      </x:c>
      <x:c r="I636" s="11" t="n">
        <x:v>180</x:v>
      </x:c>
      <x:c r="J636" s="12" t="n">
        <x:v>0.1</x:v>
      </x:c>
      <x:c r="K636" s="11" t="n">
        <x:f>H636*I636*(1-J636)</x:f>
        <x:v>3402</x:v>
      </x:c>
      <x:c r="L636" s="11" t="n">
        <x:f>H636*(I636*0.62)</x:f>
        <x:v>2343.6</x:v>
      </x:c>
      <x:c r="M636" s="11" t="n">
        <x:f>K636-L636</x:f>
        <x:v>1058.4</x:v>
      </x:c>
      <x:c r="N636" s="8" t="str">
        <x:v>Direct</x:v>
      </x:c>
      <x:c r="O636" s="8" t="str">
        <x:v>Bank Transfer</x:v>
      </x:c>
      <x:c r="P636" s="8" t="str">
        <x:v>Closed Won</x:v>
      </x:c>
    </x:row>
    <x:row r="637">
      <x:c r="A637" s="8" t="str">
        <x:v>ORD-2025636</x:v>
      </x:c>
      <x:c r="B637" s="9" t="n">
        <x:v>45960</x:v>
      </x:c>
      <x:c r="C637" s="8" t="str">
        <x:v>West</x:v>
      </x:c>
      <x:c r="D637" s="8" t="str">
        <x:v>Olivia Wilson</x:v>
      </x:c>
      <x:c r="E637" s="8" t="str">
        <x:v>Prime Group</x:v>
      </x:c>
      <x:c r="F637" s="8" t="str">
        <x:v>Accessories</x:v>
      </x:c>
      <x:c r="G637" s="8" t="str">
        <x:v>Keyboard Pro</x:v>
      </x:c>
      <x:c r="H637" s="10" t="n">
        <x:v>1</x:v>
      </x:c>
      <x:c r="I637" s="11" t="n">
        <x:v>95</x:v>
      </x:c>
      <x:c r="J637" s="12" t="n">
        <x:v>0.15</x:v>
      </x:c>
      <x:c r="K637" s="11" t="n">
        <x:f>H637*I637*(1-J637)</x:f>
        <x:v>80.75</x:v>
      </x:c>
      <x:c r="L637" s="11" t="n">
        <x:f>H637*(I637*0.62)</x:f>
        <x:v>58.9</x:v>
      </x:c>
      <x:c r="M637" s="11" t="n">
        <x:f>K637-L637</x:f>
        <x:v>21.85</x:v>
      </x:c>
      <x:c r="N637" s="8" t="str">
        <x:v>Partner</x:v>
      </x:c>
      <x:c r="O637" s="8" t="str">
        <x:v>Bank Transfer</x:v>
      </x:c>
      <x:c r="P637" s="8" t="str">
        <x:v>Closed Won</x:v>
      </x:c>
    </x:row>
    <x:row r="638">
      <x:c r="A638" s="8" t="str">
        <x:v>ORD-2025637</x:v>
      </x:c>
      <x:c r="B638" s="9" t="n">
        <x:v>45960</x:v>
      </x:c>
      <x:c r="C638" s="8" t="str">
        <x:v>South</x:v>
      </x:c>
      <x:c r="D638" s="8" t="str">
        <x:v>Emma Martin</x:v>
      </x:c>
      <x:c r="E638" s="8" t="str">
        <x:v>Acme LLC</x:v>
      </x:c>
      <x:c r="F638" s="8" t="str">
        <x:v>Accessories</x:v>
      </x:c>
      <x:c r="G638" s="8" t="str">
        <x:v>Keyboard Pro</x:v>
      </x:c>
      <x:c r="H638" s="10" t="n">
        <x:v>14</x:v>
      </x:c>
      <x:c r="I638" s="11" t="n">
        <x:v>95</x:v>
      </x:c>
      <x:c r="J638" s="12" t="n">
        <x:v>0</x:v>
      </x:c>
      <x:c r="K638" s="11" t="n">
        <x:f>H638*I638*(1-J638)</x:f>
        <x:v>1330</x:v>
      </x:c>
      <x:c r="L638" s="11" t="n">
        <x:f>H638*(I638*0.62)</x:f>
        <x:v>824.6</x:v>
      </x:c>
      <x:c r="M638" s="11" t="n">
        <x:f>K638-L638</x:f>
        <x:v>505.4</x:v>
      </x:c>
      <x:c r="N638" s="8" t="str">
        <x:v>Direct</x:v>
      </x:c>
      <x:c r="O638" s="8" t="str">
        <x:v>PayPal</x:v>
      </x:c>
      <x:c r="P638" s="8" t="str">
        <x:v>Shipped</x:v>
      </x:c>
    </x:row>
    <x:row r="639">
      <x:c r="A639" s="8" t="str">
        <x:v>ORD-2025638</x:v>
      </x:c>
      <x:c r="B639" s="9" t="n">
        <x:v>45929</x:v>
      </x:c>
      <x:c r="C639" s="8" t="str">
        <x:v>West</x:v>
      </x:c>
      <x:c r="D639" s="8" t="str">
        <x:v>Olivia Wilson</x:v>
      </x:c>
      <x:c r="E639" s="8" t="str">
        <x:v>Pioneer LLC</x:v>
      </x:c>
      <x:c r="F639" s="8" t="str">
        <x:v>Software</x:v>
      </x:c>
      <x:c r="G639" s="8" t="str">
        <x:v>ProjectFlow</x:v>
      </x:c>
      <x:c r="H639" s="10" t="n">
        <x:v>15</x:v>
      </x:c>
      <x:c r="I639" s="11" t="n">
        <x:v>700</x:v>
      </x:c>
      <x:c r="J639" s="12" t="n">
        <x:v>0.05</x:v>
      </x:c>
      <x:c r="K639" s="11" t="n">
        <x:f>H639*I639*(1-J639)</x:f>
        <x:v>9975</x:v>
      </x:c>
      <x:c r="L639" s="11" t="n">
        <x:f>H639*(I639*0.62)</x:f>
        <x:v>6510</x:v>
      </x:c>
      <x:c r="M639" s="11" t="n">
        <x:f>K639-L639</x:f>
        <x:v>3465</x:v>
      </x:c>
      <x:c r="N639" s="8" t="str">
        <x:v>Direct</x:v>
      </x:c>
      <x:c r="O639" s="8" t="str">
        <x:v>Credit Card</x:v>
      </x:c>
      <x:c r="P639" s="8" t="str">
        <x:v>Shipped</x:v>
      </x:c>
    </x:row>
    <x:row r="640">
      <x:c r="A640" s="8" t="str">
        <x:v>ORD-2025639</x:v>
      </x:c>
      <x:c r="B640" s="9" t="n">
        <x:v>45769</x:v>
      </x:c>
      <x:c r="C640" s="8" t="str">
        <x:v>South</x:v>
      </x:c>
      <x:c r="D640" s="8" t="str">
        <x:v>Sophia Kim</x:v>
      </x:c>
      <x:c r="E640" s="8" t="str">
        <x:v>Vertex Inc</x:v>
      </x:c>
      <x:c r="F640" s="8" t="str">
        <x:v>Software</x:v>
      </x:c>
      <x:c r="G640" s="8" t="str">
        <x:v>ProjectFlow</x:v>
      </x:c>
      <x:c r="H640" s="10" t="n">
        <x:v>8</x:v>
      </x:c>
      <x:c r="I640" s="11" t="n">
        <x:v>700</x:v>
      </x:c>
      <x:c r="J640" s="12" t="n">
        <x:v>0.15</x:v>
      </x:c>
      <x:c r="K640" s="11" t="n">
        <x:f>H640*I640*(1-J640)</x:f>
        <x:v>4760</x:v>
      </x:c>
      <x:c r="L640" s="11" t="n">
        <x:f>H640*(I640*0.62)</x:f>
        <x:v>3472</x:v>
      </x:c>
      <x:c r="M640" s="11" t="n">
        <x:f>K640-L640</x:f>
        <x:v>1288</x:v>
      </x:c>
      <x:c r="N640" s="8" t="str">
        <x:v>Direct</x:v>
      </x:c>
      <x:c r="O640" s="8" t="str">
        <x:v>Credit Card</x:v>
      </x:c>
      <x:c r="P640" s="8" t="str">
        <x:v>Pending</x:v>
      </x:c>
    </x:row>
    <x:row r="641">
      <x:c r="A641" s="8" t="str">
        <x:v>ORD-2025640</x:v>
      </x:c>
      <x:c r="B641" s="9" t="n">
        <x:v>46018</x:v>
      </x:c>
      <x:c r="C641" s="8" t="str">
        <x:v>West</x:v>
      </x:c>
      <x:c r="D641" s="8" t="str">
        <x:v>Emma Martin</x:v>
      </x:c>
      <x:c r="E641" s="8" t="str">
        <x:v>Ironwood Co</x:v>
      </x:c>
      <x:c r="F641" s="8" t="str">
        <x:v>Services</x:v>
      </x:c>
      <x:c r="G641" s="8" t="str">
        <x:v>Training</x:v>
      </x:c>
      <x:c r="H641" s="10" t="n">
        <x:v>1</x:v>
      </x:c>
      <x:c r="I641" s="11" t="n">
        <x:v>900</x:v>
      </x:c>
      <x:c r="J641" s="12" t="n">
        <x:v>0.05</x:v>
      </x:c>
      <x:c r="K641" s="11" t="n">
        <x:f>H641*I641*(1-J641)</x:f>
        <x:v>855</x:v>
      </x:c>
      <x:c r="L641" s="11" t="n">
        <x:f>H641*(I641*0.62)</x:f>
        <x:v>558</x:v>
      </x:c>
      <x:c r="M641" s="11" t="n">
        <x:f>K641-L641</x:f>
        <x:v>297</x:v>
      </x:c>
      <x:c r="N641" s="8" t="str">
        <x:v>Partner</x:v>
      </x:c>
      <x:c r="O641" s="8" t="str">
        <x:v>Bank Transfer</x:v>
      </x:c>
      <x:c r="P641" s="8" t="str">
        <x:v>Returned</x:v>
      </x:c>
    </x:row>
    <x:row r="642">
      <x:c r="A642" s="8" t="str">
        <x:v>ORD-2025641</x:v>
      </x:c>
      <x:c r="B642" s="9" t="n">
        <x:v>45847</x:v>
      </x:c>
      <x:c r="C642" s="8" t="str">
        <x:v>West</x:v>
      </x:c>
      <x:c r="D642" s="8" t="str">
        <x:v>Ava Patel</x:v>
      </x:c>
      <x:c r="E642" s="8" t="str">
        <x:v>BlueSky Inc</x:v>
      </x:c>
      <x:c r="F642" s="8" t="str">
        <x:v>Accessories</x:v>
      </x:c>
      <x:c r="G642" s="8" t="str">
        <x:v>Keyboard Pro</x:v>
      </x:c>
      <x:c r="H642" s="10" t="n">
        <x:v>13</x:v>
      </x:c>
      <x:c r="I642" s="11" t="n">
        <x:v>95</x:v>
      </x:c>
      <x:c r="J642" s="12" t="n">
        <x:v>0.15</x:v>
      </x:c>
      <x:c r="K642" s="11" t="n">
        <x:f>H642*I642*(1-J642)</x:f>
        <x:v>1049.75</x:v>
      </x:c>
      <x:c r="L642" s="11" t="n">
        <x:f>H642*(I642*0.62)</x:f>
        <x:v>765.6999999999999</x:v>
      </x:c>
      <x:c r="M642" s="11" t="n">
        <x:f>K642-L642</x:f>
        <x:v>284.05000000000007</x:v>
      </x:c>
      <x:c r="N642" s="8" t="str">
        <x:v>Partner</x:v>
      </x:c>
      <x:c r="O642" s="8" t="str">
        <x:v>Credit Card</x:v>
      </x:c>
      <x:c r="P642" s="8" t="str">
        <x:v>Closed Won</x:v>
      </x:c>
    </x:row>
    <x:row r="643">
      <x:c r="A643" s="8" t="str">
        <x:v>ORD-2025642</x:v>
      </x:c>
      <x:c r="B643" s="9" t="n">
        <x:v>46008</x:v>
      </x:c>
      <x:c r="C643" s="8" t="str">
        <x:v>North</x:v>
      </x:c>
      <x:c r="D643" s="8" t="str">
        <x:v>Emma Martin</x:v>
      </x:c>
      <x:c r="E643" s="8" t="str">
        <x:v>BrightPath Co</x:v>
      </x:c>
      <x:c r="F643" s="8" t="str">
        <x:v>Services</x:v>
      </x:c>
      <x:c r="G643" s="8" t="str">
        <x:v>Training</x:v>
      </x:c>
      <x:c r="H643" s="10" t="n">
        <x:v>24</x:v>
      </x:c>
      <x:c r="I643" s="11" t="n">
        <x:v>900</x:v>
      </x:c>
      <x:c r="J643" s="12" t="n">
        <x:v>0</x:v>
      </x:c>
      <x:c r="K643" s="11" t="n">
        <x:f>H643*I643*(1-J643)</x:f>
        <x:v>21600</x:v>
      </x:c>
      <x:c r="L643" s="11" t="n">
        <x:f>H643*(I643*0.62)</x:f>
        <x:v>13392</x:v>
      </x:c>
      <x:c r="M643" s="11" t="n">
        <x:f>K643-L643</x:f>
        <x:v>8208</x:v>
      </x:c>
      <x:c r="N643" s="8" t="str">
        <x:v>Online</x:v>
      </x:c>
      <x:c r="O643" s="8" t="str">
        <x:v>Invoice</x:v>
      </x:c>
      <x:c r="P643" s="8" t="str">
        <x:v>Cancelled</x:v>
      </x:c>
    </x:row>
    <x:row r="644">
      <x:c r="A644" s="8" t="str">
        <x:v>ORD-2025643</x:v>
      </x:c>
      <x:c r="B644" s="9" t="n">
        <x:v>45845</x:v>
      </x:c>
      <x:c r="C644" s="8" t="str">
        <x:v>West</x:v>
      </x:c>
      <x:c r="D644" s="8" t="str">
        <x:v>Emma Martin</x:v>
      </x:c>
      <x:c r="E644" s="8" t="str">
        <x:v>Summit Inc</x:v>
      </x:c>
      <x:c r="F644" s="8" t="str">
        <x:v>Software</x:v>
      </x:c>
      <x:c r="G644" s="8" t="str">
        <x:v>ProjectFlow</x:v>
      </x:c>
      <x:c r="H644" s="10" t="n">
        <x:v>12</x:v>
      </x:c>
      <x:c r="I644" s="11" t="n">
        <x:v>700</x:v>
      </x:c>
      <x:c r="J644" s="12" t="n">
        <x:v>0</x:v>
      </x:c>
      <x:c r="K644" s="11" t="n">
        <x:f>H644*I644*(1-J644)</x:f>
        <x:v>8400</x:v>
      </x:c>
      <x:c r="L644" s="11" t="n">
        <x:f>H644*(I644*0.62)</x:f>
        <x:v>5208</x:v>
      </x:c>
      <x:c r="M644" s="11" t="n">
        <x:f>K644-L644</x:f>
        <x:v>3192</x:v>
      </x:c>
      <x:c r="N644" s="8" t="str">
        <x:v>Direct</x:v>
      </x:c>
      <x:c r="O644" s="8" t="str">
        <x:v>Credit Card</x:v>
      </x:c>
      <x:c r="P644" s="8" t="str">
        <x:v>Shipped</x:v>
      </x:c>
    </x:row>
    <x:row r="645">
      <x:c r="A645" s="8" t="str">
        <x:v>ORD-2025644</x:v>
      </x:c>
      <x:c r="B645" s="9" t="n">
        <x:v>45829</x:v>
      </x:c>
      <x:c r="C645" s="8" t="str">
        <x:v>South</x:v>
      </x:c>
      <x:c r="D645" s="8" t="str">
        <x:v>Mason Lee</x:v>
      </x:c>
      <x:c r="E645" s="8" t="str">
        <x:v>Pioneer Co</x:v>
      </x:c>
      <x:c r="F645" s="8" t="str">
        <x:v>Hardware</x:v>
      </x:c>
      <x:c r="G645" s="8" t="str">
        <x:v>Tablet Air</x:v>
      </x:c>
      <x:c r="H645" s="10" t="n">
        <x:v>21</x:v>
      </x:c>
      <x:c r="I645" s="11" t="n">
        <x:v>820</x:v>
      </x:c>
      <x:c r="J645" s="12" t="n">
        <x:v>0.05</x:v>
      </x:c>
      <x:c r="K645" s="11" t="n">
        <x:f>H645*I645*(1-J645)</x:f>
        <x:v>16359</x:v>
      </x:c>
      <x:c r="L645" s="11" t="n">
        <x:f>H645*(I645*0.62)</x:f>
        <x:v>10676.4</x:v>
      </x:c>
      <x:c r="M645" s="11" t="n">
        <x:f>K645-L645</x:f>
        <x:v>5682.6</x:v>
      </x:c>
      <x:c r="N645" s="8" t="str">
        <x:v>Online</x:v>
      </x:c>
      <x:c r="O645" s="8" t="str">
        <x:v>Bank Transfer</x:v>
      </x:c>
      <x:c r="P645" s="8" t="str">
        <x:v>Shipped</x:v>
      </x:c>
    </x:row>
    <x:row r="646">
      <x:c r="A646" s="8" t="str">
        <x:v>ORD-2025645</x:v>
      </x:c>
      <x:c r="B646" s="9" t="n">
        <x:v>45838</x:v>
      </x:c>
      <x:c r="C646" s="8" t="str">
        <x:v>East</x:v>
      </x:c>
      <x:c r="D646" s="8" t="str">
        <x:v>Mason Lee</x:v>
      </x:c>
      <x:c r="E646" s="8" t="str">
        <x:v>RedStone Co</x:v>
      </x:c>
      <x:c r="F646" s="8" t="str">
        <x:v>Hardware</x:v>
      </x:c>
      <x:c r="G646" s="8" t="str">
        <x:v>Dock Station</x:v>
      </x:c>
      <x:c r="H646" s="10" t="n">
        <x:v>9</x:v>
      </x:c>
      <x:c r="I646" s="11" t="n">
        <x:v>180</x:v>
      </x:c>
      <x:c r="J646" s="12" t="n">
        <x:v>0</x:v>
      </x:c>
      <x:c r="K646" s="11" t="n">
        <x:f>H646*I646*(1-J646)</x:f>
        <x:v>1620</x:v>
      </x:c>
      <x:c r="L646" s="11" t="n">
        <x:f>H646*(I646*0.62)</x:f>
        <x:v>1004.4</x:v>
      </x:c>
      <x:c r="M646" s="11" t="n">
        <x:f>K646-L646</x:f>
        <x:v>615.6</x:v>
      </x:c>
      <x:c r="N646" s="8" t="str">
        <x:v>Direct</x:v>
      </x:c>
      <x:c r="O646" s="8" t="str">
        <x:v>Invoice</x:v>
      </x:c>
      <x:c r="P646" s="8" t="str">
        <x:v>Closed Won</x:v>
      </x:c>
    </x:row>
    <x:row r="647">
      <x:c r="A647" s="8" t="str">
        <x:v>ORD-2025646</x:v>
      </x:c>
      <x:c r="B647" s="9" t="n">
        <x:v>45898</x:v>
      </x:c>
      <x:c r="C647" s="8" t="str">
        <x:v>Central</x:v>
      </x:c>
      <x:c r="D647" s="8" t="str">
        <x:v>Mason Lee</x:v>
      </x:c>
      <x:c r="E647" s="8" t="str">
        <x:v>Vertex Inc</x:v>
      </x:c>
      <x:c r="F647" s="8" t="str">
        <x:v>Accessories</x:v>
      </x:c>
      <x:c r="G647" s="8" t="str">
        <x:v>Wireless Mouse</x:v>
      </x:c>
      <x:c r="H647" s="10" t="n">
        <x:v>15</x:v>
      </x:c>
      <x:c r="I647" s="11" t="n">
        <x:v>40</x:v>
      </x:c>
      <x:c r="J647" s="12" t="n">
        <x:v>0.1</x:v>
      </x:c>
      <x:c r="K647" s="11" t="n">
        <x:f>H647*I647*(1-J647)</x:f>
        <x:v>540</x:v>
      </x:c>
      <x:c r="L647" s="11" t="n">
        <x:f>H647*(I647*0.62)</x:f>
        <x:v>372</x:v>
      </x:c>
      <x:c r="M647" s="11" t="n">
        <x:f>K647-L647</x:f>
        <x:v>168</x:v>
      </x:c>
      <x:c r="N647" s="8" t="str">
        <x:v>Partner</x:v>
      </x:c>
      <x:c r="O647" s="8" t="str">
        <x:v>Credit Card</x:v>
      </x:c>
      <x:c r="P647" s="8" t="str">
        <x:v>Closed Won</x:v>
      </x:c>
    </x:row>
    <x:row r="648">
      <x:c r="A648" s="8" t="str">
        <x:v>ORD-2025647</x:v>
      </x:c>
      <x:c r="B648" s="9" t="n">
        <x:v>45699</x:v>
      </x:c>
      <x:c r="C648" s="8" t="str">
        <x:v>West</x:v>
      </x:c>
      <x:c r="D648" s="8" t="str">
        <x:v>Noah Davis</x:v>
      </x:c>
      <x:c r="E648" s="8" t="str">
        <x:v>Vertex LLC</x:v>
      </x:c>
      <x:c r="F648" s="8" t="str">
        <x:v>Accessories</x:v>
      </x:c>
      <x:c r="G648" s="8" t="str">
        <x:v>Wireless Mouse</x:v>
      </x:c>
      <x:c r="H648" s="10" t="n">
        <x:v>3</x:v>
      </x:c>
      <x:c r="I648" s="11" t="n">
        <x:v>40</x:v>
      </x:c>
      <x:c r="J648" s="12" t="n">
        <x:v>0</x:v>
      </x:c>
      <x:c r="K648" s="11" t="n">
        <x:f>H648*I648*(1-J648)</x:f>
        <x:v>120</x:v>
      </x:c>
      <x:c r="L648" s="11" t="n">
        <x:f>H648*(I648*0.62)</x:f>
        <x:v>74.4</x:v>
      </x:c>
      <x:c r="M648" s="11" t="n">
        <x:f>K648-L648</x:f>
        <x:v>45.599999999999994</x:v>
      </x:c>
      <x:c r="N648" s="8" t="str">
        <x:v>Direct</x:v>
      </x:c>
      <x:c r="O648" s="8" t="str">
        <x:v>Invoice</x:v>
      </x:c>
      <x:c r="P648" s="8" t="str">
        <x:v>Closed Won</x:v>
      </x:c>
    </x:row>
    <x:row r="649">
      <x:c r="A649" s="8" t="str">
        <x:v>ORD-2025648</x:v>
      </x:c>
      <x:c r="B649" s="9" t="n">
        <x:v>45735</x:v>
      </x:c>
      <x:c r="C649" s="8" t="str">
        <x:v>South</x:v>
      </x:c>
      <x:c r="D649" s="8" t="str">
        <x:v>Mason Lee</x:v>
      </x:c>
      <x:c r="E649" s="8" t="str">
        <x:v>Acme Co</x:v>
      </x:c>
      <x:c r="F649" s="8" t="str">
        <x:v>Hardware</x:v>
      </x:c>
      <x:c r="G649" s="8" t="str">
        <x:v>Monitor 27</x:v>
      </x:c>
      <x:c r="H649" s="10" t="n">
        <x:v>10</x:v>
      </x:c>
      <x:c r="I649" s="11" t="n">
        <x:v>320</x:v>
      </x:c>
      <x:c r="J649" s="12" t="n">
        <x:v>0.05</x:v>
      </x:c>
      <x:c r="K649" s="11" t="n">
        <x:f>H649*I649*(1-J649)</x:f>
        <x:v>3040</x:v>
      </x:c>
      <x:c r="L649" s="11" t="n">
        <x:f>H649*(I649*0.62)</x:f>
        <x:v>1984</x:v>
      </x:c>
      <x:c r="M649" s="11" t="n">
        <x:f>K649-L649</x:f>
        <x:v>1056</x:v>
      </x:c>
      <x:c r="N649" s="8" t="str">
        <x:v>Online</x:v>
      </x:c>
      <x:c r="O649" s="8" t="str">
        <x:v>Bank Transfer</x:v>
      </x:c>
      <x:c r="P649" s="8" t="str">
        <x:v>Pending</x:v>
      </x:c>
    </x:row>
    <x:row r="650">
      <x:c r="A650" s="8" t="str">
        <x:v>ORD-2025649</x:v>
      </x:c>
      <x:c r="B650" s="9" t="n">
        <x:v>45988</x:v>
      </x:c>
      <x:c r="C650" s="8" t="str">
        <x:v>North</x:v>
      </x:c>
      <x:c r="D650" s="8" t="str">
        <x:v>Ethan Garcia</x:v>
      </x:c>
      <x:c r="E650" s="8" t="str">
        <x:v>Nexus LLC</x:v>
      </x:c>
      <x:c r="F650" s="8" t="str">
        <x:v>Accessories</x:v>
      </x:c>
      <x:c r="G650" s="8" t="str">
        <x:v>Headset</x:v>
      </x:c>
      <x:c r="H650" s="10" t="n">
        <x:v>3</x:v>
      </x:c>
      <x:c r="I650" s="11" t="n">
        <x:v>85</x:v>
      </x:c>
      <x:c r="J650" s="12" t="n">
        <x:v>0</x:v>
      </x:c>
      <x:c r="K650" s="11" t="n">
        <x:f>H650*I650*(1-J650)</x:f>
        <x:v>255</x:v>
      </x:c>
      <x:c r="L650" s="11" t="n">
        <x:f>H650*(I650*0.62)</x:f>
        <x:v>158.10000000000002</x:v>
      </x:c>
      <x:c r="M650" s="11" t="n">
        <x:f>K650-L650</x:f>
        <x:v>96.89999999999998</x:v>
      </x:c>
      <x:c r="N650" s="8" t="str">
        <x:v>Direct</x:v>
      </x:c>
      <x:c r="O650" s="8" t="str">
        <x:v>Invoice</x:v>
      </x:c>
      <x:c r="P650" s="8" t="str">
        <x:v>Closed Won</x:v>
      </x:c>
    </x:row>
    <x:row r="651">
      <x:c r="A651" s="8" t="str">
        <x:v>ORD-2025650</x:v>
      </x:c>
      <x:c r="B651" s="9" t="n">
        <x:v>45906</x:v>
      </x:c>
      <x:c r="C651" s="8" t="str">
        <x:v>Central</x:v>
      </x:c>
      <x:c r="D651" s="8" t="str">
        <x:v>Mason Lee</x:v>
      </x:c>
      <x:c r="E651" s="8" t="str">
        <x:v>Maple Co</x:v>
      </x:c>
      <x:c r="F651" s="8" t="str">
        <x:v>Services</x:v>
      </x:c>
      <x:c r="G651" s="8" t="str">
        <x:v>Support Plus</x:v>
      </x:c>
      <x:c r="H651" s="10" t="n">
        <x:v>15</x:v>
      </x:c>
      <x:c r="I651" s="11" t="n">
        <x:v>650</x:v>
      </x:c>
      <x:c r="J651" s="12" t="n">
        <x:v>0.05</x:v>
      </x:c>
      <x:c r="K651" s="11" t="n">
        <x:f>H651*I651*(1-J651)</x:f>
        <x:v>9262.5</x:v>
      </x:c>
      <x:c r="L651" s="11" t="n">
        <x:f>H651*(I651*0.62)</x:f>
        <x:v>6045</x:v>
      </x:c>
      <x:c r="M651" s="11" t="n">
        <x:f>K651-L651</x:f>
        <x:v>3217.5</x:v>
      </x:c>
      <x:c r="N651" s="8" t="str">
        <x:v>Partner</x:v>
      </x:c>
      <x:c r="O651" s="8" t="str">
        <x:v>Bank Transfer</x:v>
      </x:c>
      <x:c r="P651" s="8" t="str">
        <x:v>Cancelled</x:v>
      </x:c>
    </x:row>
    <x:row r="652">
      <x:c r="A652" s="8" t="str">
        <x:v>ORD-2025651</x:v>
      </x:c>
      <x:c r="B652" s="9" t="n">
        <x:v>45791</x:v>
      </x:c>
      <x:c r="C652" s="8" t="str">
        <x:v>South</x:v>
      </x:c>
      <x:c r="D652" s="8" t="str">
        <x:v>Olivia Wilson</x:v>
      </x:c>
      <x:c r="E652" s="8" t="str">
        <x:v>Harbor Group</x:v>
      </x:c>
      <x:c r="F652" s="8" t="str">
        <x:v>Services</x:v>
      </x:c>
      <x:c r="G652" s="8" t="str">
        <x:v>Training</x:v>
      </x:c>
      <x:c r="H652" s="10" t="n">
        <x:v>10</x:v>
      </x:c>
      <x:c r="I652" s="11" t="n">
        <x:v>900</x:v>
      </x:c>
      <x:c r="J652" s="12" t="n">
        <x:v>0.2</x:v>
      </x:c>
      <x:c r="K652" s="11" t="n">
        <x:f>H652*I652*(1-J652)</x:f>
        <x:v>7200</x:v>
      </x:c>
      <x:c r="L652" s="11" t="n">
        <x:f>H652*(I652*0.62)</x:f>
        <x:v>5580</x:v>
      </x:c>
      <x:c r="M652" s="11" t="n">
        <x:f>K652-L652</x:f>
        <x:v>1620</x:v>
      </x:c>
      <x:c r="N652" s="8" t="str">
        <x:v>Direct</x:v>
      </x:c>
      <x:c r="O652" s="8" t="str">
        <x:v>Bank Transfer</x:v>
      </x:c>
      <x:c r="P652" s="8" t="str">
        <x:v>Closed Won</x:v>
      </x:c>
    </x:row>
    <x:row r="653">
      <x:c r="A653" s="8" t="str">
        <x:v>ORD-2025652</x:v>
      </x:c>
      <x:c r="B653" s="9" t="n">
        <x:v>45974</x:v>
      </x:c>
      <x:c r="C653" s="8" t="str">
        <x:v>South</x:v>
      </x:c>
      <x:c r="D653" s="8" t="str">
        <x:v>Mason Lee</x:v>
      </x:c>
      <x:c r="E653" s="8" t="str">
        <x:v>Vertex LLC</x:v>
      </x:c>
      <x:c r="F653" s="8" t="str">
        <x:v>Accessories</x:v>
      </x:c>
      <x:c r="G653" s="8" t="str">
        <x:v>Keyboard Pro</x:v>
      </x:c>
      <x:c r="H653" s="10" t="n">
        <x:v>6</x:v>
      </x:c>
      <x:c r="I653" s="11" t="n">
        <x:v>95</x:v>
      </x:c>
      <x:c r="J653" s="12" t="n">
        <x:v>0</x:v>
      </x:c>
      <x:c r="K653" s="11" t="n">
        <x:f>H653*I653*(1-J653)</x:f>
        <x:v>570</x:v>
      </x:c>
      <x:c r="L653" s="11" t="n">
        <x:f>H653*(I653*0.62)</x:f>
        <x:v>353.4</x:v>
      </x:c>
      <x:c r="M653" s="11" t="n">
        <x:f>K653-L653</x:f>
        <x:v>216.60000000000002</x:v>
      </x:c>
      <x:c r="N653" s="8" t="str">
        <x:v>Online</x:v>
      </x:c>
      <x:c r="O653" s="8" t="str">
        <x:v>Bank Transfer</x:v>
      </x:c>
      <x:c r="P653" s="8" t="str">
        <x:v>Closed Won</x:v>
      </x:c>
    </x:row>
    <x:row r="654">
      <x:c r="A654" s="8" t="str">
        <x:v>ORD-2025653</x:v>
      </x:c>
      <x:c r="B654" s="9" t="n">
        <x:v>45820</x:v>
      </x:c>
      <x:c r="C654" s="8" t="str">
        <x:v>Central</x:v>
      </x:c>
      <x:c r="D654" s="8" t="str">
        <x:v>Noah Davis</x:v>
      </x:c>
      <x:c r="E654" s="8" t="str">
        <x:v>GoldenGate LLC</x:v>
      </x:c>
      <x:c r="F654" s="8" t="str">
        <x:v>Software</x:v>
      </x:c>
      <x:c r="G654" s="8" t="str">
        <x:v>CRM Pro</x:v>
      </x:c>
      <x:c r="H654" s="10" t="n">
        <x:v>9</x:v>
      </x:c>
      <x:c r="I654" s="11" t="n">
        <x:v>1200</x:v>
      </x:c>
      <x:c r="J654" s="12" t="n">
        <x:v>0</x:v>
      </x:c>
      <x:c r="K654" s="11" t="n">
        <x:f>H654*I654*(1-J654)</x:f>
        <x:v>10800</x:v>
      </x:c>
      <x:c r="L654" s="11" t="n">
        <x:f>H654*(I654*0.62)</x:f>
        <x:v>6696</x:v>
      </x:c>
      <x:c r="M654" s="11" t="n">
        <x:f>K654-L654</x:f>
        <x:v>4104</x:v>
      </x:c>
      <x:c r="N654" s="8" t="str">
        <x:v>Direct</x:v>
      </x:c>
      <x:c r="O654" s="8" t="str">
        <x:v>Bank Transfer</x:v>
      </x:c>
      <x:c r="P654" s="8" t="str">
        <x:v>Shipped</x:v>
      </x:c>
    </x:row>
    <x:row r="655">
      <x:c r="A655" s="8" t="str">
        <x:v>ORD-2025654</x:v>
      </x:c>
      <x:c r="B655" s="9" t="n">
        <x:v>45834</x:v>
      </x:c>
      <x:c r="C655" s="8" t="str">
        <x:v>South</x:v>
      </x:c>
      <x:c r="D655" s="8" t="str">
        <x:v>Sophia Kim</x:v>
      </x:c>
      <x:c r="E655" s="8" t="str">
        <x:v>GoldenGate Inc</x:v>
      </x:c>
      <x:c r="F655" s="8" t="str">
        <x:v>Software</x:v>
      </x:c>
      <x:c r="G655" s="8" t="str">
        <x:v>HR Suite</x:v>
      </x:c>
      <x:c r="H655" s="10" t="n">
        <x:v>18</x:v>
      </x:c>
      <x:c r="I655" s="11" t="n">
        <x:v>950</x:v>
      </x:c>
      <x:c r="J655" s="12" t="n">
        <x:v>0</x:v>
      </x:c>
      <x:c r="K655" s="11" t="n">
        <x:f>H655*I655*(1-J655)</x:f>
        <x:v>17100</x:v>
      </x:c>
      <x:c r="L655" s="11" t="n">
        <x:f>H655*(I655*0.62)</x:f>
        <x:v>10602</x:v>
      </x:c>
      <x:c r="M655" s="11" t="n">
        <x:f>K655-L655</x:f>
        <x:v>6498</x:v>
      </x:c>
      <x:c r="N655" s="8" t="str">
        <x:v>Online</x:v>
      </x:c>
      <x:c r="O655" s="8" t="str">
        <x:v>Invoice</x:v>
      </x:c>
      <x:c r="P655" s="8" t="str">
        <x:v>Closed Won</x:v>
      </x:c>
    </x:row>
    <x:row r="656">
      <x:c r="A656" s="8" t="str">
        <x:v>ORD-2025655</x:v>
      </x:c>
      <x:c r="B656" s="9" t="n">
        <x:v>45913</x:v>
      </x:c>
      <x:c r="C656" s="8" t="str">
        <x:v>South</x:v>
      </x:c>
      <x:c r="D656" s="8" t="str">
        <x:v>Olivia Wilson</x:v>
      </x:c>
      <x:c r="E656" s="8" t="str">
        <x:v>BrightPath LLC</x:v>
      </x:c>
      <x:c r="F656" s="8" t="str">
        <x:v>Software</x:v>
      </x:c>
      <x:c r="G656" s="8" t="str">
        <x:v>ProjectFlow</x:v>
      </x:c>
      <x:c r="H656" s="10" t="n">
        <x:v>5</x:v>
      </x:c>
      <x:c r="I656" s="11" t="n">
        <x:v>700</x:v>
      </x:c>
      <x:c r="J656" s="12" t="n">
        <x:v>0</x:v>
      </x:c>
      <x:c r="K656" s="11" t="n">
        <x:f>H656*I656*(1-J656)</x:f>
        <x:v>3500</x:v>
      </x:c>
      <x:c r="L656" s="11" t="n">
        <x:f>H656*(I656*0.62)</x:f>
        <x:v>2170</x:v>
      </x:c>
      <x:c r="M656" s="11" t="n">
        <x:f>K656-L656</x:f>
        <x:v>1330</x:v>
      </x:c>
      <x:c r="N656" s="8" t="str">
        <x:v>Online</x:v>
      </x:c>
      <x:c r="O656" s="8" t="str">
        <x:v>Invoice</x:v>
      </x:c>
      <x:c r="P656" s="8" t="str">
        <x:v>Shipped</x:v>
      </x:c>
    </x:row>
    <x:row r="657">
      <x:c r="A657" s="8" t="str">
        <x:v>ORD-2025656</x:v>
      </x:c>
      <x:c r="B657" s="9" t="n">
        <x:v>45806</x:v>
      </x:c>
      <x:c r="C657" s="8" t="str">
        <x:v>Central</x:v>
      </x:c>
      <x:c r="D657" s="8" t="str">
        <x:v>Noah Davis</x:v>
      </x:c>
      <x:c r="E657" s="8" t="str">
        <x:v>Ironwood LLC</x:v>
      </x:c>
      <x:c r="F657" s="8" t="str">
        <x:v>Services</x:v>
      </x:c>
      <x:c r="G657" s="8" t="str">
        <x:v>Consulting Day</x:v>
      </x:c>
      <x:c r="H657" s="10" t="n">
        <x:v>24</x:v>
      </x:c>
      <x:c r="I657" s="11" t="n">
        <x:v>1400</x:v>
      </x:c>
      <x:c r="J657" s="12" t="n">
        <x:v>0.05</x:v>
      </x:c>
      <x:c r="K657" s="11" t="n">
        <x:f>H657*I657*(1-J657)</x:f>
        <x:v>31920</x:v>
      </x:c>
      <x:c r="L657" s="11" t="n">
        <x:f>H657*(I657*0.62)</x:f>
        <x:v>20832</x:v>
      </x:c>
      <x:c r="M657" s="11" t="n">
        <x:f>K657-L657</x:f>
        <x:v>11088</x:v>
      </x:c>
      <x:c r="N657" s="8" t="str">
        <x:v>Partner</x:v>
      </x:c>
      <x:c r="O657" s="8" t="str">
        <x:v>Credit Card</x:v>
      </x:c>
      <x:c r="P657" s="8" t="str">
        <x:v>Shipped</x:v>
      </x:c>
    </x:row>
    <x:row r="658">
      <x:c r="A658" s="8" t="str">
        <x:v>ORD-2025657</x:v>
      </x:c>
      <x:c r="B658" s="9" t="n">
        <x:v>46005</x:v>
      </x:c>
      <x:c r="C658" s="8" t="str">
        <x:v>Central</x:v>
      </x:c>
      <x:c r="D658" s="8" t="str">
        <x:v>Liam Chen</x:v>
      </x:c>
      <x:c r="E658" s="8" t="str">
        <x:v>Vertex Group</x:v>
      </x:c>
      <x:c r="F658" s="8" t="str">
        <x:v>Software</x:v>
      </x:c>
      <x:c r="G658" s="8" t="str">
        <x:v>Analytics Cloud</x:v>
      </x:c>
      <x:c r="H658" s="10" t="n">
        <x:v>1</x:v>
      </x:c>
      <x:c r="I658" s="11" t="n">
        <x:v>1800</x:v>
      </x:c>
      <x:c r="J658" s="12" t="n">
        <x:v>0.05</x:v>
      </x:c>
      <x:c r="K658" s="11" t="n">
        <x:f>H658*I658*(1-J658)</x:f>
        <x:v>1710</x:v>
      </x:c>
      <x:c r="L658" s="11" t="n">
        <x:f>H658*(I658*0.62)</x:f>
        <x:v>1116</x:v>
      </x:c>
      <x:c r="M658" s="11" t="n">
        <x:f>K658-L658</x:f>
        <x:v>594</x:v>
      </x:c>
      <x:c r="N658" s="8" t="str">
        <x:v>Online</x:v>
      </x:c>
      <x:c r="O658" s="8" t="str">
        <x:v>Bank Transfer</x:v>
      </x:c>
      <x:c r="P658" s="8" t="str">
        <x:v>Closed Won</x:v>
      </x:c>
    </x:row>
    <x:row r="659">
      <x:c r="A659" s="8" t="str">
        <x:v>ORD-2025658</x:v>
      </x:c>
      <x:c r="B659" s="9" t="n">
        <x:v>45686</x:v>
      </x:c>
      <x:c r="C659" s="8" t="str">
        <x:v>Central</x:v>
      </x:c>
      <x:c r="D659" s="8" t="str">
        <x:v>Mia Johnson</x:v>
      </x:c>
      <x:c r="E659" s="8" t="str">
        <x:v>Ironwood Co</x:v>
      </x:c>
      <x:c r="F659" s="8" t="str">
        <x:v>Software</x:v>
      </x:c>
      <x:c r="G659" s="8" t="str">
        <x:v>HR Suite</x:v>
      </x:c>
      <x:c r="H659" s="10" t="n">
        <x:v>17</x:v>
      </x:c>
      <x:c r="I659" s="11" t="n">
        <x:v>950</x:v>
      </x:c>
      <x:c r="J659" s="12" t="n">
        <x:v>0</x:v>
      </x:c>
      <x:c r="K659" s="11" t="n">
        <x:f>H659*I659*(1-J659)</x:f>
        <x:v>16150</x:v>
      </x:c>
      <x:c r="L659" s="11" t="n">
        <x:f>H659*(I659*0.62)</x:f>
        <x:v>10013</x:v>
      </x:c>
      <x:c r="M659" s="11" t="n">
        <x:f>K659-L659</x:f>
        <x:v>6137</x:v>
      </x:c>
      <x:c r="N659" s="8" t="str">
        <x:v>Partner</x:v>
      </x:c>
      <x:c r="O659" s="8" t="str">
        <x:v>Bank Transfer</x:v>
      </x:c>
      <x:c r="P659" s="8" t="str">
        <x:v>Closed Won</x:v>
      </x:c>
    </x:row>
    <x:row r="660">
      <x:c r="A660" s="8" t="str">
        <x:v>ORD-2025659</x:v>
      </x:c>
      <x:c r="B660" s="9" t="n">
        <x:v>45920</x:v>
      </x:c>
      <x:c r="C660" s="8" t="str">
        <x:v>West</x:v>
      </x:c>
      <x:c r="D660" s="8" t="str">
        <x:v>Mia Johnson</x:v>
      </x:c>
      <x:c r="E660" s="8" t="str">
        <x:v>NorthStar Co</x:v>
      </x:c>
      <x:c r="F660" s="8" t="str">
        <x:v>Accessories</x:v>
      </x:c>
      <x:c r="G660" s="8" t="str">
        <x:v>Wireless Mouse</x:v>
      </x:c>
      <x:c r="H660" s="10" t="n">
        <x:v>11</x:v>
      </x:c>
      <x:c r="I660" s="11" t="n">
        <x:v>40</x:v>
      </x:c>
      <x:c r="J660" s="12" t="n">
        <x:v>0.1</x:v>
      </x:c>
      <x:c r="K660" s="11" t="n">
        <x:f>H660*I660*(1-J660)</x:f>
        <x:v>396</x:v>
      </x:c>
      <x:c r="L660" s="11" t="n">
        <x:f>H660*(I660*0.62)</x:f>
        <x:v>272.8</x:v>
      </x:c>
      <x:c r="M660" s="11" t="n">
        <x:f>K660-L660</x:f>
        <x:v>123.19999999999999</x:v>
      </x:c>
      <x:c r="N660" s="8" t="str">
        <x:v>Online</x:v>
      </x:c>
      <x:c r="O660" s="8" t="str">
        <x:v>Credit Card</x:v>
      </x:c>
      <x:c r="P660" s="8" t="str">
        <x:v>Cancelled</x:v>
      </x:c>
    </x:row>
    <x:row r="661">
      <x:c r="A661" s="8" t="str">
        <x:v>ORD-2025660</x:v>
      </x:c>
      <x:c r="B661" s="9" t="n">
        <x:v>45733</x:v>
      </x:c>
      <x:c r="C661" s="8" t="str">
        <x:v>West</x:v>
      </x:c>
      <x:c r="D661" s="8" t="str">
        <x:v>Sophia Kim</x:v>
      </x:c>
      <x:c r="E661" s="8" t="str">
        <x:v>SilverLine Inc</x:v>
      </x:c>
      <x:c r="F661" s="8" t="str">
        <x:v>Services</x:v>
      </x:c>
      <x:c r="G661" s="8" t="str">
        <x:v>Consulting Day</x:v>
      </x:c>
      <x:c r="H661" s="10" t="n">
        <x:v>12</x:v>
      </x:c>
      <x:c r="I661" s="11" t="n">
        <x:v>1400</x:v>
      </x:c>
      <x:c r="J661" s="12" t="n">
        <x:v>0</x:v>
      </x:c>
      <x:c r="K661" s="11" t="n">
        <x:f>H661*I661*(1-J661)</x:f>
        <x:v>16800</x:v>
      </x:c>
      <x:c r="L661" s="11" t="n">
        <x:f>H661*(I661*0.62)</x:f>
        <x:v>10416</x:v>
      </x:c>
      <x:c r="M661" s="11" t="n">
        <x:f>K661-L661</x:f>
        <x:v>6384</x:v>
      </x:c>
      <x:c r="N661" s="8" t="str">
        <x:v>Partner</x:v>
      </x:c>
      <x:c r="O661" s="8" t="str">
        <x:v>Invoice</x:v>
      </x:c>
      <x:c r="P661" s="8" t="str">
        <x:v>Closed Won</x:v>
      </x:c>
    </x:row>
    <x:row r="662">
      <x:c r="A662" s="8" t="str">
        <x:v>ORD-2025661</x:v>
      </x:c>
      <x:c r="B662" s="9" t="n">
        <x:v>45768</x:v>
      </x:c>
      <x:c r="C662" s="8" t="str">
        <x:v>West</x:v>
      </x:c>
      <x:c r="D662" s="8" t="str">
        <x:v>Lucas Brown</x:v>
      </x:c>
      <x:c r="E662" s="8" t="str">
        <x:v>GoldenGate LLC</x:v>
      </x:c>
      <x:c r="F662" s="8" t="str">
        <x:v>Accessories</x:v>
      </x:c>
      <x:c r="G662" s="8" t="str">
        <x:v>Wireless Mouse</x:v>
      </x:c>
      <x:c r="H662" s="10" t="n">
        <x:v>10</x:v>
      </x:c>
      <x:c r="I662" s="11" t="n">
        <x:v>40</x:v>
      </x:c>
      <x:c r="J662" s="12" t="n">
        <x:v>0</x:v>
      </x:c>
      <x:c r="K662" s="11" t="n">
        <x:f>H662*I662*(1-J662)</x:f>
        <x:v>400</x:v>
      </x:c>
      <x:c r="L662" s="11" t="n">
        <x:f>H662*(I662*0.62)</x:f>
        <x:v>248</x:v>
      </x:c>
      <x:c r="M662" s="11" t="n">
        <x:f>K662-L662</x:f>
        <x:v>152</x:v>
      </x:c>
      <x:c r="N662" s="8" t="str">
        <x:v>Online</x:v>
      </x:c>
      <x:c r="O662" s="8" t="str">
        <x:v>PayPal</x:v>
      </x:c>
      <x:c r="P662" s="8" t="str">
        <x:v>Shipped</x:v>
      </x:c>
    </x:row>
    <x:row r="663">
      <x:c r="A663" s="8" t="str">
        <x:v>ORD-2025662</x:v>
      </x:c>
      <x:c r="B663" s="9" t="n">
        <x:v>45958</x:v>
      </x:c>
      <x:c r="C663" s="8" t="str">
        <x:v>Central</x:v>
      </x:c>
      <x:c r="D663" s="8" t="str">
        <x:v>Liam Chen</x:v>
      </x:c>
      <x:c r="E663" s="8" t="str">
        <x:v>Urban Co</x:v>
      </x:c>
      <x:c r="F663" s="8" t="str">
        <x:v>Accessories</x:v>
      </x:c>
      <x:c r="G663" s="8" t="str">
        <x:v>Keyboard Pro</x:v>
      </x:c>
      <x:c r="H663" s="10" t="n">
        <x:v>7</x:v>
      </x:c>
      <x:c r="I663" s="11" t="n">
        <x:v>95</x:v>
      </x:c>
      <x:c r="J663" s="12" t="n">
        <x:v>0</x:v>
      </x:c>
      <x:c r="K663" s="11" t="n">
        <x:f>H663*I663*(1-J663)</x:f>
        <x:v>665</x:v>
      </x:c>
      <x:c r="L663" s="11" t="n">
        <x:f>H663*(I663*0.62)</x:f>
        <x:v>412.3</x:v>
      </x:c>
      <x:c r="M663" s="11" t="n">
        <x:f>K663-L663</x:f>
        <x:v>252.7</x:v>
      </x:c>
      <x:c r="N663" s="8" t="str">
        <x:v>Partner</x:v>
      </x:c>
      <x:c r="O663" s="8" t="str">
        <x:v>Invoice</x:v>
      </x:c>
      <x:c r="P663" s="8" t="str">
        <x:v>Closed Won</x:v>
      </x:c>
    </x:row>
    <x:row r="664">
      <x:c r="A664" s="8" t="str">
        <x:v>ORD-2025663</x:v>
      </x:c>
      <x:c r="B664" s="9" t="n">
        <x:v>45661</x:v>
      </x:c>
      <x:c r="C664" s="8" t="str">
        <x:v>West</x:v>
      </x:c>
      <x:c r="D664" s="8" t="str">
        <x:v>Ethan Garcia</x:v>
      </x:c>
      <x:c r="E664" s="8" t="str">
        <x:v>RedStone Inc</x:v>
      </x:c>
      <x:c r="F664" s="8" t="str">
        <x:v>Accessories</x:v>
      </x:c>
      <x:c r="G664" s="8" t="str">
        <x:v>Wireless Mouse</x:v>
      </x:c>
      <x:c r="H664" s="10" t="n">
        <x:v>6</x:v>
      </x:c>
      <x:c r="I664" s="11" t="n">
        <x:v>40</x:v>
      </x:c>
      <x:c r="J664" s="12" t="n">
        <x:v>0.1</x:v>
      </x:c>
      <x:c r="K664" s="11" t="n">
        <x:f>H664*I664*(1-J664)</x:f>
        <x:v>216</x:v>
      </x:c>
      <x:c r="L664" s="11" t="n">
        <x:f>H664*(I664*0.62)</x:f>
        <x:v>148.8</x:v>
      </x:c>
      <x:c r="M664" s="11" t="n">
        <x:f>K664-L664</x:f>
        <x:v>67.19999999999999</x:v>
      </x:c>
      <x:c r="N664" s="8" t="str">
        <x:v>Partner</x:v>
      </x:c>
      <x:c r="O664" s="8" t="str">
        <x:v>Bank Transfer</x:v>
      </x:c>
      <x:c r="P664" s="8" t="str">
        <x:v>Closed Won</x:v>
      </x:c>
    </x:row>
    <x:row r="665">
      <x:c r="A665" s="8" t="str">
        <x:v>ORD-2025664</x:v>
      </x:c>
      <x:c r="B665" s="9" t="n">
        <x:v>45941</x:v>
      </x:c>
      <x:c r="C665" s="8" t="str">
        <x:v>West</x:v>
      </x:c>
      <x:c r="D665" s="8" t="str">
        <x:v>Ava Patel</x:v>
      </x:c>
      <x:c r="E665" s="8" t="str">
        <x:v>Vertex Co</x:v>
      </x:c>
      <x:c r="F665" s="8" t="str">
        <x:v>Accessories</x:v>
      </x:c>
      <x:c r="G665" s="8" t="str">
        <x:v>Webcam HD</x:v>
      </x:c>
      <x:c r="H665" s="10" t="n">
        <x:v>19</x:v>
      </x:c>
      <x:c r="I665" s="11" t="n">
        <x:v>110</x:v>
      </x:c>
      <x:c r="J665" s="12" t="n">
        <x:v>0</x:v>
      </x:c>
      <x:c r="K665" s="11" t="n">
        <x:f>H665*I665*(1-J665)</x:f>
        <x:v>2090</x:v>
      </x:c>
      <x:c r="L665" s="11" t="n">
        <x:f>H665*(I665*0.62)</x:f>
        <x:v>1295.8</x:v>
      </x:c>
      <x:c r="M665" s="11" t="n">
        <x:f>K665-L665</x:f>
        <x:v>794.2</x:v>
      </x:c>
      <x:c r="N665" s="8" t="str">
        <x:v>Partner</x:v>
      </x:c>
      <x:c r="O665" s="8" t="str">
        <x:v>PayPal</x:v>
      </x:c>
      <x:c r="P665" s="8" t="str">
        <x:v>Closed Won</x:v>
      </x:c>
    </x:row>
    <x:row r="666">
      <x:c r="A666" s="8" t="str">
        <x:v>ORD-2025665</x:v>
      </x:c>
      <x:c r="B666" s="9" t="n">
        <x:v>45792</x:v>
      </x:c>
      <x:c r="C666" s="8" t="str">
        <x:v>East</x:v>
      </x:c>
      <x:c r="D666" s="8" t="str">
        <x:v>Olivia Wilson</x:v>
      </x:c>
      <x:c r="E666" s="8" t="str">
        <x:v>Pioneer Group</x:v>
      </x:c>
      <x:c r="F666" s="8" t="str">
        <x:v>Software</x:v>
      </x:c>
      <x:c r="G666" s="8" t="str">
        <x:v>Analytics Cloud</x:v>
      </x:c>
      <x:c r="H666" s="10" t="n">
        <x:v>21</x:v>
      </x:c>
      <x:c r="I666" s="11" t="n">
        <x:v>1800</x:v>
      </x:c>
      <x:c r="J666" s="12" t="n">
        <x:v>0.15</x:v>
      </x:c>
      <x:c r="K666" s="11" t="n">
        <x:f>H666*I666*(1-J666)</x:f>
        <x:v>32130</x:v>
      </x:c>
      <x:c r="L666" s="11" t="n">
        <x:f>H666*(I666*0.62)</x:f>
        <x:v>23436</x:v>
      </x:c>
      <x:c r="M666" s="11" t="n">
        <x:f>K666-L666</x:f>
        <x:v>8694</x:v>
      </x:c>
      <x:c r="N666" s="8" t="str">
        <x:v>Partner</x:v>
      </x:c>
      <x:c r="O666" s="8" t="str">
        <x:v>PayPal</x:v>
      </x:c>
      <x:c r="P666" s="8" t="str">
        <x:v>Closed Won</x:v>
      </x:c>
    </x:row>
    <x:row r="667">
      <x:c r="A667" s="8" t="str">
        <x:v>ORD-2025666</x:v>
      </x:c>
      <x:c r="B667" s="9" t="n">
        <x:v>45719</x:v>
      </x:c>
      <x:c r="C667" s="8" t="str">
        <x:v>East</x:v>
      </x:c>
      <x:c r="D667" s="8" t="str">
        <x:v>Olivia Wilson</x:v>
      </x:c>
      <x:c r="E667" s="8" t="str">
        <x:v>BlueSky LLC</x:v>
      </x:c>
      <x:c r="F667" s="8" t="str">
        <x:v>Hardware</x:v>
      </x:c>
      <x:c r="G667" s="8" t="str">
        <x:v>Laptop X</x:v>
      </x:c>
      <x:c r="H667" s="10" t="n">
        <x:v>20</x:v>
      </x:c>
      <x:c r="I667" s="11" t="n">
        <x:v>1500</x:v>
      </x:c>
      <x:c r="J667" s="12" t="n">
        <x:v>0.15</x:v>
      </x:c>
      <x:c r="K667" s="11" t="n">
        <x:f>H667*I667*(1-J667)</x:f>
        <x:v>25500</x:v>
      </x:c>
      <x:c r="L667" s="11" t="n">
        <x:f>H667*(I667*0.62)</x:f>
        <x:v>18600</x:v>
      </x:c>
      <x:c r="M667" s="11" t="n">
        <x:f>K667-L667</x:f>
        <x:v>6900</x:v>
      </x:c>
      <x:c r="N667" s="8" t="str">
        <x:v>Partner</x:v>
      </x:c>
      <x:c r="O667" s="8" t="str">
        <x:v>PayPal</x:v>
      </x:c>
      <x:c r="P667" s="8" t="str">
        <x:v>Shipped</x:v>
      </x:c>
    </x:row>
    <x:row r="668">
      <x:c r="A668" s="8" t="str">
        <x:v>ORD-2025667</x:v>
      </x:c>
      <x:c r="B668" s="9" t="n">
        <x:v>46013</x:v>
      </x:c>
      <x:c r="C668" s="8" t="str">
        <x:v>North</x:v>
      </x:c>
      <x:c r="D668" s="8" t="str">
        <x:v>Sophia Kim</x:v>
      </x:c>
      <x:c r="E668" s="8" t="str">
        <x:v>Southridge Inc</x:v>
      </x:c>
      <x:c r="F668" s="8" t="str">
        <x:v>Services</x:v>
      </x:c>
      <x:c r="G668" s="8" t="str">
        <x:v>Consulting Day</x:v>
      </x:c>
      <x:c r="H668" s="10" t="n">
        <x:v>24</x:v>
      </x:c>
      <x:c r="I668" s="11" t="n">
        <x:v>1400</x:v>
      </x:c>
      <x:c r="J668" s="12" t="n">
        <x:v>0.1</x:v>
      </x:c>
      <x:c r="K668" s="11" t="n">
        <x:f>H668*I668*(1-J668)</x:f>
        <x:v>30240</x:v>
      </x:c>
      <x:c r="L668" s="11" t="n">
        <x:f>H668*(I668*0.62)</x:f>
        <x:v>20832</x:v>
      </x:c>
      <x:c r="M668" s="11" t="n">
        <x:f>K668-L668</x:f>
        <x:v>9408</x:v>
      </x:c>
      <x:c r="N668" s="8" t="str">
        <x:v>Direct</x:v>
      </x:c>
      <x:c r="O668" s="8" t="str">
        <x:v>Invoice</x:v>
      </x:c>
      <x:c r="P668" s="8" t="str">
        <x:v>Closed Won</x:v>
      </x:c>
    </x:row>
    <x:row r="669">
      <x:c r="A669" s="8" t="str">
        <x:v>ORD-2025668</x:v>
      </x:c>
      <x:c r="B669" s="9" t="n">
        <x:v>45821</x:v>
      </x:c>
      <x:c r="C669" s="8" t="str">
        <x:v>West</x:v>
      </x:c>
      <x:c r="D669" s="8" t="str">
        <x:v>Noah Davis</x:v>
      </x:c>
      <x:c r="E669" s="8" t="str">
        <x:v>Harbor Inc</x:v>
      </x:c>
      <x:c r="F669" s="8" t="str">
        <x:v>Software</x:v>
      </x:c>
      <x:c r="G669" s="8" t="str">
        <x:v>Analytics Cloud</x:v>
      </x:c>
      <x:c r="H669" s="10" t="n">
        <x:v>6</x:v>
      </x:c>
      <x:c r="I669" s="11" t="n">
        <x:v>1800</x:v>
      </x:c>
      <x:c r="J669" s="12" t="n">
        <x:v>0</x:v>
      </x:c>
      <x:c r="K669" s="11" t="n">
        <x:f>H669*I669*(1-J669)</x:f>
        <x:v>10800</x:v>
      </x:c>
      <x:c r="L669" s="11" t="n">
        <x:f>H669*(I669*0.62)</x:f>
        <x:v>6696</x:v>
      </x:c>
      <x:c r="M669" s="11" t="n">
        <x:f>K669-L669</x:f>
        <x:v>4104</x:v>
      </x:c>
      <x:c r="N669" s="8" t="str">
        <x:v>Partner</x:v>
      </x:c>
      <x:c r="O669" s="8" t="str">
        <x:v>Invoice</x:v>
      </x:c>
      <x:c r="P669" s="8" t="str">
        <x:v>Closed Won</x:v>
      </x:c>
    </x:row>
    <x:row r="670">
      <x:c r="A670" s="8" t="str">
        <x:v>ORD-2025669</x:v>
      </x:c>
      <x:c r="B670" s="9" t="n">
        <x:v>45806</x:v>
      </x:c>
      <x:c r="C670" s="8" t="str">
        <x:v>East</x:v>
      </x:c>
      <x:c r="D670" s="8" t="str">
        <x:v>Mason Lee</x:v>
      </x:c>
      <x:c r="E670" s="8" t="str">
        <x:v>BlueSky Inc</x:v>
      </x:c>
      <x:c r="F670" s="8" t="str">
        <x:v>Services</x:v>
      </x:c>
      <x:c r="G670" s="8" t="str">
        <x:v>Implementation</x:v>
      </x:c>
      <x:c r="H670" s="10" t="n">
        <x:v>17</x:v>
      </x:c>
      <x:c r="I670" s="11" t="n">
        <x:v>2500</x:v>
      </x:c>
      <x:c r="J670" s="12" t="n">
        <x:v>0</x:v>
      </x:c>
      <x:c r="K670" s="11" t="n">
        <x:f>H670*I670*(1-J670)</x:f>
        <x:v>42500</x:v>
      </x:c>
      <x:c r="L670" s="11" t="n">
        <x:f>H670*(I670*0.62)</x:f>
        <x:v>26350</x:v>
      </x:c>
      <x:c r="M670" s="11" t="n">
        <x:f>K670-L670</x:f>
        <x:v>16150</x:v>
      </x:c>
      <x:c r="N670" s="8" t="str">
        <x:v>Online</x:v>
      </x:c>
      <x:c r="O670" s="8" t="str">
        <x:v>Bank Transfer</x:v>
      </x:c>
      <x:c r="P670" s="8" t="str">
        <x:v>Shipped</x:v>
      </x:c>
    </x:row>
    <x:row r="671">
      <x:c r="A671" s="8" t="str">
        <x:v>ORD-2025670</x:v>
      </x:c>
      <x:c r="B671" s="9" t="n">
        <x:v>45819</x:v>
      </x:c>
      <x:c r="C671" s="8" t="str">
        <x:v>East</x:v>
      </x:c>
      <x:c r="D671" s="8" t="str">
        <x:v>Ethan Garcia</x:v>
      </x:c>
      <x:c r="E671" s="8" t="str">
        <x:v>Harbor Co</x:v>
      </x:c>
      <x:c r="F671" s="8" t="str">
        <x:v>Hardware</x:v>
      </x:c>
      <x:c r="G671" s="8" t="str">
        <x:v>Dock Station</x:v>
      </x:c>
      <x:c r="H671" s="10" t="n">
        <x:v>4</x:v>
      </x:c>
      <x:c r="I671" s="11" t="n">
        <x:v>180</x:v>
      </x:c>
      <x:c r="J671" s="12" t="n">
        <x:v>0.1</x:v>
      </x:c>
      <x:c r="K671" s="11" t="n">
        <x:f>H671*I671*(1-J671)</x:f>
        <x:v>648</x:v>
      </x:c>
      <x:c r="L671" s="11" t="n">
        <x:f>H671*(I671*0.62)</x:f>
        <x:v>446.4</x:v>
      </x:c>
      <x:c r="M671" s="11" t="n">
        <x:f>K671-L671</x:f>
        <x:v>201.60000000000002</x:v>
      </x:c>
      <x:c r="N671" s="8" t="str">
        <x:v>Online</x:v>
      </x:c>
      <x:c r="O671" s="8" t="str">
        <x:v>Invoice</x:v>
      </x:c>
      <x:c r="P671" s="8" t="str">
        <x:v>Returned</x:v>
      </x:c>
    </x:row>
    <x:row r="672">
      <x:c r="A672" s="8" t="str">
        <x:v>ORD-2025671</x:v>
      </x:c>
      <x:c r="B672" s="9" t="n">
        <x:v>45923</x:v>
      </x:c>
      <x:c r="C672" s="8" t="str">
        <x:v>East</x:v>
      </x:c>
      <x:c r="D672" s="8" t="str">
        <x:v>Sophia Kim</x:v>
      </x:c>
      <x:c r="E672" s="8" t="str">
        <x:v>NorthStar Co</x:v>
      </x:c>
      <x:c r="F672" s="8" t="str">
        <x:v>Software</x:v>
      </x:c>
      <x:c r="G672" s="8" t="str">
        <x:v>Analytics Cloud</x:v>
      </x:c>
      <x:c r="H672" s="10" t="n">
        <x:v>14</x:v>
      </x:c>
      <x:c r="I672" s="11" t="n">
        <x:v>1800</x:v>
      </x:c>
      <x:c r="J672" s="12" t="n">
        <x:v>0</x:v>
      </x:c>
      <x:c r="K672" s="11" t="n">
        <x:f>H672*I672*(1-J672)</x:f>
        <x:v>25200</x:v>
      </x:c>
      <x:c r="L672" s="11" t="n">
        <x:f>H672*(I672*0.62)</x:f>
        <x:v>15624</x:v>
      </x:c>
      <x:c r="M672" s="11" t="n">
        <x:f>K672-L672</x:f>
        <x:v>9576</x:v>
      </x:c>
      <x:c r="N672" s="8" t="str">
        <x:v>Direct</x:v>
      </x:c>
      <x:c r="O672" s="8" t="str">
        <x:v>Credit Card</x:v>
      </x:c>
      <x:c r="P672" s="8" t="str">
        <x:v>Closed Won</x:v>
      </x:c>
    </x:row>
    <x:row r="673">
      <x:c r="A673" s="8" t="str">
        <x:v>ORD-2025672</x:v>
      </x:c>
      <x:c r="B673" s="9" t="n">
        <x:v>45944</x:v>
      </x:c>
      <x:c r="C673" s="8" t="str">
        <x:v>Central</x:v>
      </x:c>
      <x:c r="D673" s="8" t="str">
        <x:v>Mason Lee</x:v>
      </x:c>
      <x:c r="E673" s="8" t="str">
        <x:v>Maple LLC</x:v>
      </x:c>
      <x:c r="F673" s="8" t="str">
        <x:v>Hardware</x:v>
      </x:c>
      <x:c r="G673" s="8" t="str">
        <x:v>Tablet Air</x:v>
      </x:c>
      <x:c r="H673" s="10" t="n">
        <x:v>23</x:v>
      </x:c>
      <x:c r="I673" s="11" t="n">
        <x:v>820</x:v>
      </x:c>
      <x:c r="J673" s="12" t="n">
        <x:v>0.1</x:v>
      </x:c>
      <x:c r="K673" s="11" t="n">
        <x:f>H673*I673*(1-J673)</x:f>
        <x:v>16974</x:v>
      </x:c>
      <x:c r="L673" s="11" t="n">
        <x:f>H673*(I673*0.62)</x:f>
        <x:v>11693.199999999999</x:v>
      </x:c>
      <x:c r="M673" s="11" t="n">
        <x:f>K673-L673</x:f>
        <x:v>5280.800000000001</x:v>
      </x:c>
      <x:c r="N673" s="8" t="str">
        <x:v>Online</x:v>
      </x:c>
      <x:c r="O673" s="8" t="str">
        <x:v>Credit Card</x:v>
      </x:c>
      <x:c r="P673" s="8" t="str">
        <x:v>Closed Won</x:v>
      </x:c>
    </x:row>
    <x:row r="674">
      <x:c r="A674" s="8" t="str">
        <x:v>ORD-2025673</x:v>
      </x:c>
      <x:c r="B674" s="9" t="n">
        <x:v>45725</x:v>
      </x:c>
      <x:c r="C674" s="8" t="str">
        <x:v>North</x:v>
      </x:c>
      <x:c r="D674" s="8" t="str">
        <x:v>Olivia Wilson</x:v>
      </x:c>
      <x:c r="E674" s="8" t="str">
        <x:v>Harbor LLC</x:v>
      </x:c>
      <x:c r="F674" s="8" t="str">
        <x:v>Software</x:v>
      </x:c>
      <x:c r="G674" s="8" t="str">
        <x:v>CRM Pro</x:v>
      </x:c>
      <x:c r="H674" s="10" t="n">
        <x:v>10</x:v>
      </x:c>
      <x:c r="I674" s="11" t="n">
        <x:v>1200</x:v>
      </x:c>
      <x:c r="J674" s="12" t="n">
        <x:v>0.15</x:v>
      </x:c>
      <x:c r="K674" s="11" t="n">
        <x:f>H674*I674*(1-J674)</x:f>
        <x:v>10200</x:v>
      </x:c>
      <x:c r="L674" s="11" t="n">
        <x:f>H674*(I674*0.62)</x:f>
        <x:v>7440</x:v>
      </x:c>
      <x:c r="M674" s="11" t="n">
        <x:f>K674-L674</x:f>
        <x:v>2760</x:v>
      </x:c>
      <x:c r="N674" s="8" t="str">
        <x:v>Partner</x:v>
      </x:c>
      <x:c r="O674" s="8" t="str">
        <x:v>Bank Transfer</x:v>
      </x:c>
      <x:c r="P674" s="8" t="str">
        <x:v>Returned</x:v>
      </x:c>
    </x:row>
    <x:row r="675">
      <x:c r="A675" s="8" t="str">
        <x:v>ORD-2025674</x:v>
      </x:c>
      <x:c r="B675" s="9" t="n">
        <x:v>46021</x:v>
      </x:c>
      <x:c r="C675" s="8" t="str">
        <x:v>East</x:v>
      </x:c>
      <x:c r="D675" s="8" t="str">
        <x:v>Ava Patel</x:v>
      </x:c>
      <x:c r="E675" s="8" t="str">
        <x:v>Pioneer Group</x:v>
      </x:c>
      <x:c r="F675" s="8" t="str">
        <x:v>Services</x:v>
      </x:c>
      <x:c r="G675" s="8" t="str">
        <x:v>Training</x:v>
      </x:c>
      <x:c r="H675" s="10" t="n">
        <x:v>8</x:v>
      </x:c>
      <x:c r="I675" s="11" t="n">
        <x:v>900</x:v>
      </x:c>
      <x:c r="J675" s="12" t="n">
        <x:v>0</x:v>
      </x:c>
      <x:c r="K675" s="11" t="n">
        <x:f>H675*I675*(1-J675)</x:f>
        <x:v>7200</x:v>
      </x:c>
      <x:c r="L675" s="11" t="n">
        <x:f>H675*(I675*0.62)</x:f>
        <x:v>4464</x:v>
      </x:c>
      <x:c r="M675" s="11" t="n">
        <x:f>K675-L675</x:f>
        <x:v>2736</x:v>
      </x:c>
      <x:c r="N675" s="8" t="str">
        <x:v>Online</x:v>
      </x:c>
      <x:c r="O675" s="8" t="str">
        <x:v>Bank Transfer</x:v>
      </x:c>
      <x:c r="P675" s="8" t="str">
        <x:v>Shipped</x:v>
      </x:c>
    </x:row>
    <x:row r="676">
      <x:c r="A676" s="8" t="str">
        <x:v>ORD-2025675</x:v>
      </x:c>
      <x:c r="B676" s="9" t="n">
        <x:v>45765</x:v>
      </x:c>
      <x:c r="C676" s="8" t="str">
        <x:v>South</x:v>
      </x:c>
      <x:c r="D676" s="8" t="str">
        <x:v>Liam Chen</x:v>
      </x:c>
      <x:c r="E676" s="8" t="str">
        <x:v>RedStone Co</x:v>
      </x:c>
      <x:c r="F676" s="8" t="str">
        <x:v>Services</x:v>
      </x:c>
      <x:c r="G676" s="8" t="str">
        <x:v>Training</x:v>
      </x:c>
      <x:c r="H676" s="10" t="n">
        <x:v>23</x:v>
      </x:c>
      <x:c r="I676" s="11" t="n">
        <x:v>900</x:v>
      </x:c>
      <x:c r="J676" s="12" t="n">
        <x:v>0.2</x:v>
      </x:c>
      <x:c r="K676" s="11" t="n">
        <x:f>H676*I676*(1-J676)</x:f>
        <x:v>16560</x:v>
      </x:c>
      <x:c r="L676" s="11" t="n">
        <x:f>H676*(I676*0.62)</x:f>
        <x:v>12834</x:v>
      </x:c>
      <x:c r="M676" s="11" t="n">
        <x:f>K676-L676</x:f>
        <x:v>3726</x:v>
      </x:c>
      <x:c r="N676" s="8" t="str">
        <x:v>Direct</x:v>
      </x:c>
      <x:c r="O676" s="8" t="str">
        <x:v>Credit Card</x:v>
      </x:c>
      <x:c r="P676" s="8" t="str">
        <x:v>Closed Won</x:v>
      </x:c>
    </x:row>
    <x:row r="677">
      <x:c r="A677" s="8" t="str">
        <x:v>ORD-2025676</x:v>
      </x:c>
      <x:c r="B677" s="9" t="n">
        <x:v>45679</x:v>
      </x:c>
      <x:c r="C677" s="8" t="str">
        <x:v>South</x:v>
      </x:c>
      <x:c r="D677" s="8" t="str">
        <x:v>Liam Chen</x:v>
      </x:c>
      <x:c r="E677" s="8" t="str">
        <x:v>Summit LLC</x:v>
      </x:c>
      <x:c r="F677" s="8" t="str">
        <x:v>Accessories</x:v>
      </x:c>
      <x:c r="G677" s="8" t="str">
        <x:v>Headset</x:v>
      </x:c>
      <x:c r="H677" s="10" t="n">
        <x:v>22</x:v>
      </x:c>
      <x:c r="I677" s="11" t="n">
        <x:v>85</x:v>
      </x:c>
      <x:c r="J677" s="12" t="n">
        <x:v>0.1</x:v>
      </x:c>
      <x:c r="K677" s="11" t="n">
        <x:f>H677*I677*(1-J677)</x:f>
        <x:v>1683</x:v>
      </x:c>
      <x:c r="L677" s="11" t="n">
        <x:f>H677*(I677*0.62)</x:f>
        <x:v>1159.4</x:v>
      </x:c>
      <x:c r="M677" s="11" t="n">
        <x:f>K677-L677</x:f>
        <x:v>523.5999999999999</x:v>
      </x:c>
      <x:c r="N677" s="8" t="str">
        <x:v>Online</x:v>
      </x:c>
      <x:c r="O677" s="8" t="str">
        <x:v>Credit Card</x:v>
      </x:c>
      <x:c r="P677" s="8" t="str">
        <x:v>Pending</x:v>
      </x:c>
    </x:row>
    <x:row r="678">
      <x:c r="A678" s="8" t="str">
        <x:v>ORD-2025677</x:v>
      </x:c>
      <x:c r="B678" s="9" t="n">
        <x:v>45691</x:v>
      </x:c>
      <x:c r="C678" s="8" t="str">
        <x:v>East</x:v>
      </x:c>
      <x:c r="D678" s="8" t="str">
        <x:v>Ava Patel</x:v>
      </x:c>
      <x:c r="E678" s="8" t="str">
        <x:v>Pioneer LLC</x:v>
      </x:c>
      <x:c r="F678" s="8" t="str">
        <x:v>Services</x:v>
      </x:c>
      <x:c r="G678" s="8" t="str">
        <x:v>Implementation</x:v>
      </x:c>
      <x:c r="H678" s="10" t="n">
        <x:v>4</x:v>
      </x:c>
      <x:c r="I678" s="11" t="n">
        <x:v>2500</x:v>
      </x:c>
      <x:c r="J678" s="12" t="n">
        <x:v>0.1</x:v>
      </x:c>
      <x:c r="K678" s="11" t="n">
        <x:f>H678*I678*(1-J678)</x:f>
        <x:v>9000</x:v>
      </x:c>
      <x:c r="L678" s="11" t="n">
        <x:f>H678*(I678*0.62)</x:f>
        <x:v>6200</x:v>
      </x:c>
      <x:c r="M678" s="11" t="n">
        <x:f>K678-L678</x:f>
        <x:v>2800</x:v>
      </x:c>
      <x:c r="N678" s="8" t="str">
        <x:v>Direct</x:v>
      </x:c>
      <x:c r="O678" s="8" t="str">
        <x:v>Bank Transfer</x:v>
      </x:c>
      <x:c r="P678" s="8" t="str">
        <x:v>Closed Won</x:v>
      </x:c>
    </x:row>
    <x:row r="679">
      <x:c r="A679" s="8" t="str">
        <x:v>ORD-2025678</x:v>
      </x:c>
      <x:c r="B679" s="9" t="n">
        <x:v>45704</x:v>
      </x:c>
      <x:c r="C679" s="8" t="str">
        <x:v>South</x:v>
      </x:c>
      <x:c r="D679" s="8" t="str">
        <x:v>Ethan Garcia</x:v>
      </x:c>
      <x:c r="E679" s="8" t="str">
        <x:v>Ironwood Co</x:v>
      </x:c>
      <x:c r="F679" s="8" t="str">
        <x:v>Services</x:v>
      </x:c>
      <x:c r="G679" s="8" t="str">
        <x:v>Implementation</x:v>
      </x:c>
      <x:c r="H679" s="10" t="n">
        <x:v>12</x:v>
      </x:c>
      <x:c r="I679" s="11" t="n">
        <x:v>2500</x:v>
      </x:c>
      <x:c r="J679" s="12" t="n">
        <x:v>0</x:v>
      </x:c>
      <x:c r="K679" s="11" t="n">
        <x:f>H679*I679*(1-J679)</x:f>
        <x:v>30000</x:v>
      </x:c>
      <x:c r="L679" s="11" t="n">
        <x:f>H679*(I679*0.62)</x:f>
        <x:v>18600</x:v>
      </x:c>
      <x:c r="M679" s="11" t="n">
        <x:f>K679-L679</x:f>
        <x:v>11400</x:v>
      </x:c>
      <x:c r="N679" s="8" t="str">
        <x:v>Direct</x:v>
      </x:c>
      <x:c r="O679" s="8" t="str">
        <x:v>Bank Transfer</x:v>
      </x:c>
      <x:c r="P679" s="8" t="str">
        <x:v>Pending</x:v>
      </x:c>
    </x:row>
    <x:row r="680">
      <x:c r="A680" s="8" t="str">
        <x:v>ORD-2025679</x:v>
      </x:c>
      <x:c r="B680" s="9" t="n">
        <x:v>45954</x:v>
      </x:c>
      <x:c r="C680" s="8" t="str">
        <x:v>North</x:v>
      </x:c>
      <x:c r="D680" s="8" t="str">
        <x:v>Mason Lee</x:v>
      </x:c>
      <x:c r="E680" s="8" t="str">
        <x:v>Nexus Group</x:v>
      </x:c>
      <x:c r="F680" s="8" t="str">
        <x:v>Software</x:v>
      </x:c>
      <x:c r="G680" s="8" t="str">
        <x:v>CRM Pro</x:v>
      </x:c>
      <x:c r="H680" s="10" t="n">
        <x:v>23</x:v>
      </x:c>
      <x:c r="I680" s="11" t="n">
        <x:v>1200</x:v>
      </x:c>
      <x:c r="J680" s="12" t="n">
        <x:v>0</x:v>
      </x:c>
      <x:c r="K680" s="11" t="n">
        <x:f>H680*I680*(1-J680)</x:f>
        <x:v>27600</x:v>
      </x:c>
      <x:c r="L680" s="11" t="n">
        <x:f>H680*(I680*0.62)</x:f>
        <x:v>17112</x:v>
      </x:c>
      <x:c r="M680" s="11" t="n">
        <x:f>K680-L680</x:f>
        <x:v>10488</x:v>
      </x:c>
      <x:c r="N680" s="8" t="str">
        <x:v>Partner</x:v>
      </x:c>
      <x:c r="O680" s="8" t="str">
        <x:v>Bank Transfer</x:v>
      </x:c>
      <x:c r="P680" s="8" t="str">
        <x:v>Cancelled</x:v>
      </x:c>
    </x:row>
    <x:row r="681">
      <x:c r="A681" s="8" t="str">
        <x:v>ORD-2025680</x:v>
      </x:c>
      <x:c r="B681" s="9" t="n">
        <x:v>45767</x:v>
      </x:c>
      <x:c r="C681" s="8" t="str">
        <x:v>Central</x:v>
      </x:c>
      <x:c r="D681" s="8" t="str">
        <x:v>Olivia Wilson</x:v>
      </x:c>
      <x:c r="E681" s="8" t="str">
        <x:v>Harbor Co</x:v>
      </x:c>
      <x:c r="F681" s="8" t="str">
        <x:v>Software</x:v>
      </x:c>
      <x:c r="G681" s="8" t="str">
        <x:v>CRM Pro</x:v>
      </x:c>
      <x:c r="H681" s="10" t="n">
        <x:v>23</x:v>
      </x:c>
      <x:c r="I681" s="11" t="n">
        <x:v>1200</x:v>
      </x:c>
      <x:c r="J681" s="12" t="n">
        <x:v>0.1</x:v>
      </x:c>
      <x:c r="K681" s="11" t="n">
        <x:f>H681*I681*(1-J681)</x:f>
        <x:v>24840</x:v>
      </x:c>
      <x:c r="L681" s="11" t="n">
        <x:f>H681*(I681*0.62)</x:f>
        <x:v>17112</x:v>
      </x:c>
      <x:c r="M681" s="11" t="n">
        <x:f>K681-L681</x:f>
        <x:v>7728</x:v>
      </x:c>
      <x:c r="N681" s="8" t="str">
        <x:v>Direct</x:v>
      </x:c>
      <x:c r="O681" s="8" t="str">
        <x:v>PayPal</x:v>
      </x:c>
      <x:c r="P681" s="8" t="str">
        <x:v>Shipped</x:v>
      </x:c>
    </x:row>
    <x:row r="682">
      <x:c r="A682" s="8" t="str">
        <x:v>ORD-2025681</x:v>
      </x:c>
      <x:c r="B682" s="9" t="n">
        <x:v>45839</x:v>
      </x:c>
      <x:c r="C682" s="8" t="str">
        <x:v>West</x:v>
      </x:c>
      <x:c r="D682" s="8" t="str">
        <x:v>Lucas Brown</x:v>
      </x:c>
      <x:c r="E682" s="8" t="str">
        <x:v>Nexus Group</x:v>
      </x:c>
      <x:c r="F682" s="8" t="str">
        <x:v>Software</x:v>
      </x:c>
      <x:c r="G682" s="8" t="str">
        <x:v>Analytics Cloud</x:v>
      </x:c>
      <x:c r="H682" s="10" t="n">
        <x:v>17</x:v>
      </x:c>
      <x:c r="I682" s="11" t="n">
        <x:v>1800</x:v>
      </x:c>
      <x:c r="J682" s="12" t="n">
        <x:v>0</x:v>
      </x:c>
      <x:c r="K682" s="11" t="n">
        <x:f>H682*I682*(1-J682)</x:f>
        <x:v>30600</x:v>
      </x:c>
      <x:c r="L682" s="11" t="n">
        <x:f>H682*(I682*0.62)</x:f>
        <x:v>18972</x:v>
      </x:c>
      <x:c r="M682" s="11" t="n">
        <x:f>K682-L682</x:f>
        <x:v>11628</x:v>
      </x:c>
      <x:c r="N682" s="8" t="str">
        <x:v>Partner</x:v>
      </x:c>
      <x:c r="O682" s="8" t="str">
        <x:v>Credit Card</x:v>
      </x:c>
      <x:c r="P682" s="8" t="str">
        <x:v>Shipped</x:v>
      </x:c>
    </x:row>
    <x:row r="683">
      <x:c r="A683" s="8" t="str">
        <x:v>ORD-2025682</x:v>
      </x:c>
      <x:c r="B683" s="9" t="n">
        <x:v>45896</x:v>
      </x:c>
      <x:c r="C683" s="8" t="str">
        <x:v>North</x:v>
      </x:c>
      <x:c r="D683" s="8" t="str">
        <x:v>Mason Lee</x:v>
      </x:c>
      <x:c r="E683" s="8" t="str">
        <x:v>Urban Inc</x:v>
      </x:c>
      <x:c r="F683" s="8" t="str">
        <x:v>Services</x:v>
      </x:c>
      <x:c r="G683" s="8" t="str">
        <x:v>Implementation</x:v>
      </x:c>
      <x:c r="H683" s="10" t="n">
        <x:v>16</x:v>
      </x:c>
      <x:c r="I683" s="11" t="n">
        <x:v>2500</x:v>
      </x:c>
      <x:c r="J683" s="12" t="n">
        <x:v>0.2</x:v>
      </x:c>
      <x:c r="K683" s="11" t="n">
        <x:f>H683*I683*(1-J683)</x:f>
        <x:v>32000</x:v>
      </x:c>
      <x:c r="L683" s="11" t="n">
        <x:f>H683*(I683*0.62)</x:f>
        <x:v>24800</x:v>
      </x:c>
      <x:c r="M683" s="11" t="n">
        <x:f>K683-L683</x:f>
        <x:v>7200</x:v>
      </x:c>
      <x:c r="N683" s="8" t="str">
        <x:v>Partner</x:v>
      </x:c>
      <x:c r="O683" s="8" t="str">
        <x:v>Invoice</x:v>
      </x:c>
      <x:c r="P683" s="8" t="str">
        <x:v>Shipped</x:v>
      </x:c>
    </x:row>
    <x:row r="684">
      <x:c r="A684" s="8" t="str">
        <x:v>ORD-2025683</x:v>
      </x:c>
      <x:c r="B684" s="9" t="n">
        <x:v>45825</x:v>
      </x:c>
      <x:c r="C684" s="8" t="str">
        <x:v>West</x:v>
      </x:c>
      <x:c r="D684" s="8" t="str">
        <x:v>Liam Chen</x:v>
      </x:c>
      <x:c r="E684" s="8" t="str">
        <x:v>SilverLine Inc</x:v>
      </x:c>
      <x:c r="F684" s="8" t="str">
        <x:v>Software</x:v>
      </x:c>
      <x:c r="G684" s="8" t="str">
        <x:v>CRM Pro</x:v>
      </x:c>
      <x:c r="H684" s="10" t="n">
        <x:v>10</x:v>
      </x:c>
      <x:c r="I684" s="11" t="n">
        <x:v>1200</x:v>
      </x:c>
      <x:c r="J684" s="12" t="n">
        <x:v>0.05</x:v>
      </x:c>
      <x:c r="K684" s="11" t="n">
        <x:f>H684*I684*(1-J684)</x:f>
        <x:v>11400</x:v>
      </x:c>
      <x:c r="L684" s="11" t="n">
        <x:f>H684*(I684*0.62)</x:f>
        <x:v>7440</x:v>
      </x:c>
      <x:c r="M684" s="11" t="n">
        <x:f>K684-L684</x:f>
        <x:v>3960</x:v>
      </x:c>
      <x:c r="N684" s="8" t="str">
        <x:v>Online</x:v>
      </x:c>
      <x:c r="O684" s="8" t="str">
        <x:v>Invoice</x:v>
      </x:c>
      <x:c r="P684" s="8" t="str">
        <x:v>Shipped</x:v>
      </x:c>
    </x:row>
    <x:row r="685">
      <x:c r="A685" s="8" t="str">
        <x:v>ORD-2025684</x:v>
      </x:c>
      <x:c r="B685" s="9" t="n">
        <x:v>45941</x:v>
      </x:c>
      <x:c r="C685" s="8" t="str">
        <x:v>West</x:v>
      </x:c>
      <x:c r="D685" s="8" t="str">
        <x:v>Ethan Garcia</x:v>
      </x:c>
      <x:c r="E685" s="8" t="str">
        <x:v>RedStone Co</x:v>
      </x:c>
      <x:c r="F685" s="8" t="str">
        <x:v>Accessories</x:v>
      </x:c>
      <x:c r="G685" s="8" t="str">
        <x:v>Keyboard Pro</x:v>
      </x:c>
      <x:c r="H685" s="10" t="n">
        <x:v>7</x:v>
      </x:c>
      <x:c r="I685" s="11" t="n">
        <x:v>95</x:v>
      </x:c>
      <x:c r="J685" s="12" t="n">
        <x:v>0.2</x:v>
      </x:c>
      <x:c r="K685" s="11" t="n">
        <x:f>H685*I685*(1-J685)</x:f>
        <x:v>532</x:v>
      </x:c>
      <x:c r="L685" s="11" t="n">
        <x:f>H685*(I685*0.62)</x:f>
        <x:v>412.3</x:v>
      </x:c>
      <x:c r="M685" s="11" t="n">
        <x:f>K685-L685</x:f>
        <x:v>119.69999999999999</x:v>
      </x:c>
      <x:c r="N685" s="8" t="str">
        <x:v>Direct</x:v>
      </x:c>
      <x:c r="O685" s="8" t="str">
        <x:v>PayPal</x:v>
      </x:c>
      <x:c r="P685" s="8" t="str">
        <x:v>Cancelled</x:v>
      </x:c>
    </x:row>
    <x:row r="686">
      <x:c r="A686" s="8" t="str">
        <x:v>ORD-2025685</x:v>
      </x:c>
      <x:c r="B686" s="9" t="n">
        <x:v>45664</x:v>
      </x:c>
      <x:c r="C686" s="8" t="str">
        <x:v>West</x:v>
      </x:c>
      <x:c r="D686" s="8" t="str">
        <x:v>Liam Chen</x:v>
      </x:c>
      <x:c r="E686" s="8" t="str">
        <x:v>SilverLine Co</x:v>
      </x:c>
      <x:c r="F686" s="8" t="str">
        <x:v>Services</x:v>
      </x:c>
      <x:c r="G686" s="8" t="str">
        <x:v>Training</x:v>
      </x:c>
      <x:c r="H686" s="10" t="n">
        <x:v>15</x:v>
      </x:c>
      <x:c r="I686" s="11" t="n">
        <x:v>900</x:v>
      </x:c>
      <x:c r="J686" s="12" t="n">
        <x:v>0.1</x:v>
      </x:c>
      <x:c r="K686" s="11" t="n">
        <x:f>H686*I686*(1-J686)</x:f>
        <x:v>12150</x:v>
      </x:c>
      <x:c r="L686" s="11" t="n">
        <x:f>H686*(I686*0.62)</x:f>
        <x:v>8370</x:v>
      </x:c>
      <x:c r="M686" s="11" t="n">
        <x:f>K686-L686</x:f>
        <x:v>3780</x:v>
      </x:c>
      <x:c r="N686" s="8" t="str">
        <x:v>Online</x:v>
      </x:c>
      <x:c r="O686" s="8" t="str">
        <x:v>Credit Card</x:v>
      </x:c>
      <x:c r="P686" s="8" t="str">
        <x:v>Closed Won</x:v>
      </x:c>
    </x:row>
    <x:row r="687">
      <x:c r="A687" s="8" t="str">
        <x:v>ORD-2025686</x:v>
      </x:c>
      <x:c r="B687" s="9" t="n">
        <x:v>46013</x:v>
      </x:c>
      <x:c r="C687" s="8" t="str">
        <x:v>Central</x:v>
      </x:c>
      <x:c r="D687" s="8" t="str">
        <x:v>Liam Chen</x:v>
      </x:c>
      <x:c r="E687" s="8" t="str">
        <x:v>GreenLeaf Inc</x:v>
      </x:c>
      <x:c r="F687" s="8" t="str">
        <x:v>Accessories</x:v>
      </x:c>
      <x:c r="G687" s="8" t="str">
        <x:v>Headset</x:v>
      </x:c>
      <x:c r="H687" s="10" t="n">
        <x:v>3</x:v>
      </x:c>
      <x:c r="I687" s="11" t="n">
        <x:v>85</x:v>
      </x:c>
      <x:c r="J687" s="12" t="n">
        <x:v>0</x:v>
      </x:c>
      <x:c r="K687" s="11" t="n">
        <x:f>H687*I687*(1-J687)</x:f>
        <x:v>255</x:v>
      </x:c>
      <x:c r="L687" s="11" t="n">
        <x:f>H687*(I687*0.62)</x:f>
        <x:v>158.10000000000002</x:v>
      </x:c>
      <x:c r="M687" s="11" t="n">
        <x:f>K687-L687</x:f>
        <x:v>96.89999999999998</x:v>
      </x:c>
      <x:c r="N687" s="8" t="str">
        <x:v>Direct</x:v>
      </x:c>
      <x:c r="O687" s="8" t="str">
        <x:v>Invoice</x:v>
      </x:c>
      <x:c r="P687" s="8" t="str">
        <x:v>Closed Won</x:v>
      </x:c>
    </x:row>
    <x:row r="688">
      <x:c r="A688" s="8" t="str">
        <x:v>ORD-2025687</x:v>
      </x:c>
      <x:c r="B688" s="9" t="n">
        <x:v>45777</x:v>
      </x:c>
      <x:c r="C688" s="8" t="str">
        <x:v>West</x:v>
      </x:c>
      <x:c r="D688" s="8" t="str">
        <x:v>Olivia Wilson</x:v>
      </x:c>
      <x:c r="E688" s="8" t="str">
        <x:v>Prime Group</x:v>
      </x:c>
      <x:c r="F688" s="8" t="str">
        <x:v>Accessories</x:v>
      </x:c>
      <x:c r="G688" s="8" t="str">
        <x:v>Wireless Mouse</x:v>
      </x:c>
      <x:c r="H688" s="10" t="n">
        <x:v>25</x:v>
      </x:c>
      <x:c r="I688" s="11" t="n">
        <x:v>40</x:v>
      </x:c>
      <x:c r="J688" s="12" t="n">
        <x:v>0.15</x:v>
      </x:c>
      <x:c r="K688" s="11" t="n">
        <x:f>H688*I688*(1-J688)</x:f>
        <x:v>850</x:v>
      </x:c>
      <x:c r="L688" s="11" t="n">
        <x:f>H688*(I688*0.62)</x:f>
        <x:v>620</x:v>
      </x:c>
      <x:c r="M688" s="11" t="n">
        <x:f>K688-L688</x:f>
        <x:v>230</x:v>
      </x:c>
      <x:c r="N688" s="8" t="str">
        <x:v>Online</x:v>
      </x:c>
      <x:c r="O688" s="8" t="str">
        <x:v>Invoice</x:v>
      </x:c>
      <x:c r="P688" s="8" t="str">
        <x:v>Shipped</x:v>
      </x:c>
    </x:row>
    <x:row r="689">
      <x:c r="A689" s="8" t="str">
        <x:v>ORD-2025688</x:v>
      </x:c>
      <x:c r="B689" s="9" t="n">
        <x:v>45901</x:v>
      </x:c>
      <x:c r="C689" s="8" t="str">
        <x:v>Central</x:v>
      </x:c>
      <x:c r="D689" s="8" t="str">
        <x:v>Lucas Brown</x:v>
      </x:c>
      <x:c r="E689" s="8" t="str">
        <x:v>NorthStar Co</x:v>
      </x:c>
      <x:c r="F689" s="8" t="str">
        <x:v>Accessories</x:v>
      </x:c>
      <x:c r="G689" s="8" t="str">
        <x:v>Webcam HD</x:v>
      </x:c>
      <x:c r="H689" s="10" t="n">
        <x:v>17</x:v>
      </x:c>
      <x:c r="I689" s="11" t="n">
        <x:v>110</x:v>
      </x:c>
      <x:c r="J689" s="12" t="n">
        <x:v>0</x:v>
      </x:c>
      <x:c r="K689" s="11" t="n">
        <x:f>H689*I689*(1-J689)</x:f>
        <x:v>1870</x:v>
      </x:c>
      <x:c r="L689" s="11" t="n">
        <x:f>H689*(I689*0.62)</x:f>
        <x:v>1159.4</x:v>
      </x:c>
      <x:c r="M689" s="11" t="n">
        <x:f>K689-L689</x:f>
        <x:v>710.5999999999999</x:v>
      </x:c>
      <x:c r="N689" s="8" t="str">
        <x:v>Direct</x:v>
      </x:c>
      <x:c r="O689" s="8" t="str">
        <x:v>PayPal</x:v>
      </x:c>
      <x:c r="P689" s="8" t="str">
        <x:v>Closed Won</x:v>
      </x:c>
    </x:row>
    <x:row r="690">
      <x:c r="A690" s="8" t="str">
        <x:v>ORD-2025689</x:v>
      </x:c>
      <x:c r="B690" s="9" t="n">
        <x:v>45912</x:v>
      </x:c>
      <x:c r="C690" s="8" t="str">
        <x:v>South</x:v>
      </x:c>
      <x:c r="D690" s="8" t="str">
        <x:v>Noah Davis</x:v>
      </x:c>
      <x:c r="E690" s="8" t="str">
        <x:v>Acme Group</x:v>
      </x:c>
      <x:c r="F690" s="8" t="str">
        <x:v>Services</x:v>
      </x:c>
      <x:c r="G690" s="8" t="str">
        <x:v>Consulting Day</x:v>
      </x:c>
      <x:c r="H690" s="10" t="n">
        <x:v>4</x:v>
      </x:c>
      <x:c r="I690" s="11" t="n">
        <x:v>1400</x:v>
      </x:c>
      <x:c r="J690" s="12" t="n">
        <x:v>0.15</x:v>
      </x:c>
      <x:c r="K690" s="11" t="n">
        <x:f>H690*I690*(1-J690)</x:f>
        <x:v>4760</x:v>
      </x:c>
      <x:c r="L690" s="11" t="n">
        <x:f>H690*(I690*0.62)</x:f>
        <x:v>3472</x:v>
      </x:c>
      <x:c r="M690" s="11" t="n">
        <x:f>K690-L690</x:f>
        <x:v>1288</x:v>
      </x:c>
      <x:c r="N690" s="8" t="str">
        <x:v>Direct</x:v>
      </x:c>
      <x:c r="O690" s="8" t="str">
        <x:v>Credit Card</x:v>
      </x:c>
      <x:c r="P690" s="8" t="str">
        <x:v>Pending</x:v>
      </x:c>
    </x:row>
    <x:row r="691">
      <x:c r="A691" s="8" t="str">
        <x:v>ORD-2025690</x:v>
      </x:c>
      <x:c r="B691" s="9" t="n">
        <x:v>45853</x:v>
      </x:c>
      <x:c r="C691" s="8" t="str">
        <x:v>Central</x:v>
      </x:c>
      <x:c r="D691" s="8" t="str">
        <x:v>Sophia Kim</x:v>
      </x:c>
      <x:c r="E691" s="8" t="str">
        <x:v>Urban Group</x:v>
      </x:c>
      <x:c r="F691" s="8" t="str">
        <x:v>Software</x:v>
      </x:c>
      <x:c r="G691" s="8" t="str">
        <x:v>Analytics Cloud</x:v>
      </x:c>
      <x:c r="H691" s="10" t="n">
        <x:v>10</x:v>
      </x:c>
      <x:c r="I691" s="11" t="n">
        <x:v>1800</x:v>
      </x:c>
      <x:c r="J691" s="12" t="n">
        <x:v>0.1</x:v>
      </x:c>
      <x:c r="K691" s="11" t="n">
        <x:f>H691*I691*(1-J691)</x:f>
        <x:v>16200</x:v>
      </x:c>
      <x:c r="L691" s="11" t="n">
        <x:f>H691*(I691*0.62)</x:f>
        <x:v>11160</x:v>
      </x:c>
      <x:c r="M691" s="11" t="n">
        <x:f>K691-L691</x:f>
        <x:v>5040</x:v>
      </x:c>
      <x:c r="N691" s="8" t="str">
        <x:v>Online</x:v>
      </x:c>
      <x:c r="O691" s="8" t="str">
        <x:v>Credit Card</x:v>
      </x:c>
      <x:c r="P691" s="8" t="str">
        <x:v>Shipped</x:v>
      </x:c>
    </x:row>
    <x:row r="692">
      <x:c r="A692" s="8" t="str">
        <x:v>ORD-2025691</x:v>
      </x:c>
      <x:c r="B692" s="9" t="n">
        <x:v>45761</x:v>
      </x:c>
      <x:c r="C692" s="8" t="str">
        <x:v>East</x:v>
      </x:c>
      <x:c r="D692" s="8" t="str">
        <x:v>Olivia Wilson</x:v>
      </x:c>
      <x:c r="E692" s="8" t="str">
        <x:v>NorthStar Co</x:v>
      </x:c>
      <x:c r="F692" s="8" t="str">
        <x:v>Accessories</x:v>
      </x:c>
      <x:c r="G692" s="8" t="str">
        <x:v>Headset</x:v>
      </x:c>
      <x:c r="H692" s="10" t="n">
        <x:v>17</x:v>
      </x:c>
      <x:c r="I692" s="11" t="n">
        <x:v>85</x:v>
      </x:c>
      <x:c r="J692" s="12" t="n">
        <x:v>0</x:v>
      </x:c>
      <x:c r="K692" s="11" t="n">
        <x:f>H692*I692*(1-J692)</x:f>
        <x:v>1445</x:v>
      </x:c>
      <x:c r="L692" s="11" t="n">
        <x:f>H692*(I692*0.62)</x:f>
        <x:v>895.9000000000001</x:v>
      </x:c>
      <x:c r="M692" s="11" t="n">
        <x:f>K692-L692</x:f>
        <x:v>549.0999999999999</x:v>
      </x:c>
      <x:c r="N692" s="8" t="str">
        <x:v>Online</x:v>
      </x:c>
      <x:c r="O692" s="8" t="str">
        <x:v>Invoice</x:v>
      </x:c>
      <x:c r="P692" s="8" t="str">
        <x:v>Returned</x:v>
      </x:c>
    </x:row>
    <x:row r="693">
      <x:c r="A693" s="8" t="str">
        <x:v>ORD-2025692</x:v>
      </x:c>
      <x:c r="B693" s="9" t="n">
        <x:v>45878</x:v>
      </x:c>
      <x:c r="C693" s="8" t="str">
        <x:v>North</x:v>
      </x:c>
      <x:c r="D693" s="8" t="str">
        <x:v>Lucas Brown</x:v>
      </x:c>
      <x:c r="E693" s="8" t="str">
        <x:v>GoldenGate Inc</x:v>
      </x:c>
      <x:c r="F693" s="8" t="str">
        <x:v>Software</x:v>
      </x:c>
      <x:c r="G693" s="8" t="str">
        <x:v>CRM Pro</x:v>
      </x:c>
      <x:c r="H693" s="10" t="n">
        <x:v>11</x:v>
      </x:c>
      <x:c r="I693" s="11" t="n">
        <x:v>1200</x:v>
      </x:c>
      <x:c r="J693" s="12" t="n">
        <x:v>0.2</x:v>
      </x:c>
      <x:c r="K693" s="11" t="n">
        <x:f>H693*I693*(1-J693)</x:f>
        <x:v>10560</x:v>
      </x:c>
      <x:c r="L693" s="11" t="n">
        <x:f>H693*(I693*0.62)</x:f>
        <x:v>8184</x:v>
      </x:c>
      <x:c r="M693" s="11" t="n">
        <x:f>K693-L693</x:f>
        <x:v>2376</x:v>
      </x:c>
      <x:c r="N693" s="8" t="str">
        <x:v>Partner</x:v>
      </x:c>
      <x:c r="O693" s="8" t="str">
        <x:v>PayPal</x:v>
      </x:c>
      <x:c r="P693" s="8" t="str">
        <x:v>Pending</x:v>
      </x:c>
    </x:row>
    <x:row r="694">
      <x:c r="A694" s="8" t="str">
        <x:v>ORD-2025693</x:v>
      </x:c>
      <x:c r="B694" s="9" t="n">
        <x:v>45943</x:v>
      </x:c>
      <x:c r="C694" s="8" t="str">
        <x:v>East</x:v>
      </x:c>
      <x:c r="D694" s="8" t="str">
        <x:v>Noah Davis</x:v>
      </x:c>
      <x:c r="E694" s="8" t="str">
        <x:v>NorthStar Co</x:v>
      </x:c>
      <x:c r="F694" s="8" t="str">
        <x:v>Software</x:v>
      </x:c>
      <x:c r="G694" s="8" t="str">
        <x:v>Analytics Cloud</x:v>
      </x:c>
      <x:c r="H694" s="10" t="n">
        <x:v>14</x:v>
      </x:c>
      <x:c r="I694" s="11" t="n">
        <x:v>1800</x:v>
      </x:c>
      <x:c r="J694" s="12" t="n">
        <x:v>0</x:v>
      </x:c>
      <x:c r="K694" s="11" t="n">
        <x:f>H694*I694*(1-J694)</x:f>
        <x:v>25200</x:v>
      </x:c>
      <x:c r="L694" s="11" t="n">
        <x:f>H694*(I694*0.62)</x:f>
        <x:v>15624</x:v>
      </x:c>
      <x:c r="M694" s="11" t="n">
        <x:f>K694-L694</x:f>
        <x:v>9576</x:v>
      </x:c>
      <x:c r="N694" s="8" t="str">
        <x:v>Partner</x:v>
      </x:c>
      <x:c r="O694" s="8" t="str">
        <x:v>PayPal</x:v>
      </x:c>
      <x:c r="P694" s="8" t="str">
        <x:v>Pending</x:v>
      </x:c>
    </x:row>
    <x:row r="695">
      <x:c r="A695" s="8" t="str">
        <x:v>ORD-2025694</x:v>
      </x:c>
      <x:c r="B695" s="9" t="n">
        <x:v>45995</x:v>
      </x:c>
      <x:c r="C695" s="8" t="str">
        <x:v>Central</x:v>
      </x:c>
      <x:c r="D695" s="8" t="str">
        <x:v>Mason Lee</x:v>
      </x:c>
      <x:c r="E695" s="8" t="str">
        <x:v>Ironwood Inc</x:v>
      </x:c>
      <x:c r="F695" s="8" t="str">
        <x:v>Software</x:v>
      </x:c>
      <x:c r="G695" s="8" t="str">
        <x:v>ProjectFlow</x:v>
      </x:c>
      <x:c r="H695" s="10" t="n">
        <x:v>16</x:v>
      </x:c>
      <x:c r="I695" s="11" t="n">
        <x:v>700</x:v>
      </x:c>
      <x:c r="J695" s="12" t="n">
        <x:v>0.05</x:v>
      </x:c>
      <x:c r="K695" s="11" t="n">
        <x:f>H695*I695*(1-J695)</x:f>
        <x:v>10640</x:v>
      </x:c>
      <x:c r="L695" s="11" t="n">
        <x:f>H695*(I695*0.62)</x:f>
        <x:v>6944</x:v>
      </x:c>
      <x:c r="M695" s="11" t="n">
        <x:f>K695-L695</x:f>
        <x:v>3696</x:v>
      </x:c>
      <x:c r="N695" s="8" t="str">
        <x:v>Online</x:v>
      </x:c>
      <x:c r="O695" s="8" t="str">
        <x:v>Bank Transfer</x:v>
      </x:c>
      <x:c r="P695" s="8" t="str">
        <x:v>Pending</x:v>
      </x:c>
    </x:row>
    <x:row r="696">
      <x:c r="A696" s="8" t="str">
        <x:v>ORD-2025695</x:v>
      </x:c>
      <x:c r="B696" s="9" t="n">
        <x:v>45911</x:v>
      </x:c>
      <x:c r="C696" s="8" t="str">
        <x:v>Central</x:v>
      </x:c>
      <x:c r="D696" s="8" t="str">
        <x:v>Lucas Brown</x:v>
      </x:c>
      <x:c r="E696" s="8" t="str">
        <x:v>Nova Co</x:v>
      </x:c>
      <x:c r="F696" s="8" t="str">
        <x:v>Accessories</x:v>
      </x:c>
      <x:c r="G696" s="8" t="str">
        <x:v>Webcam HD</x:v>
      </x:c>
      <x:c r="H696" s="10" t="n">
        <x:v>22</x:v>
      </x:c>
      <x:c r="I696" s="11" t="n">
        <x:v>110</x:v>
      </x:c>
      <x:c r="J696" s="12" t="n">
        <x:v>0</x:v>
      </x:c>
      <x:c r="K696" s="11" t="n">
        <x:f>H696*I696*(1-J696)</x:f>
        <x:v>2420</x:v>
      </x:c>
      <x:c r="L696" s="11" t="n">
        <x:f>H696*(I696*0.62)</x:f>
        <x:v>1500.4</x:v>
      </x:c>
      <x:c r="M696" s="11" t="n">
        <x:f>K696-L696</x:f>
        <x:v>919.5999999999999</x:v>
      </x:c>
      <x:c r="N696" s="8" t="str">
        <x:v>Partner</x:v>
      </x:c>
      <x:c r="O696" s="8" t="str">
        <x:v>Invoice</x:v>
      </x:c>
      <x:c r="P696" s="8" t="str">
        <x:v>Closed Won</x:v>
      </x:c>
    </x:row>
    <x:row r="697">
      <x:c r="A697" s="8" t="str">
        <x:v>ORD-2025696</x:v>
      </x:c>
      <x:c r="B697" s="9" t="n">
        <x:v>45845</x:v>
      </x:c>
      <x:c r="C697" s="8" t="str">
        <x:v>East</x:v>
      </x:c>
      <x:c r="D697" s="8" t="str">
        <x:v>Emma Martin</x:v>
      </x:c>
      <x:c r="E697" s="8" t="str">
        <x:v>Acme Group</x:v>
      </x:c>
      <x:c r="F697" s="8" t="str">
        <x:v>Software</x:v>
      </x:c>
      <x:c r="G697" s="8" t="str">
        <x:v>Analytics Cloud</x:v>
      </x:c>
      <x:c r="H697" s="10" t="n">
        <x:v>25</x:v>
      </x:c>
      <x:c r="I697" s="11" t="n">
        <x:v>1800</x:v>
      </x:c>
      <x:c r="J697" s="12" t="n">
        <x:v>0.15</x:v>
      </x:c>
      <x:c r="K697" s="11" t="n">
        <x:f>H697*I697*(1-J697)</x:f>
        <x:v>38250</x:v>
      </x:c>
      <x:c r="L697" s="11" t="n">
        <x:f>H697*(I697*0.62)</x:f>
        <x:v>27900</x:v>
      </x:c>
      <x:c r="M697" s="11" t="n">
        <x:f>K697-L697</x:f>
        <x:v>10350</x:v>
      </x:c>
      <x:c r="N697" s="8" t="str">
        <x:v>Partner</x:v>
      </x:c>
      <x:c r="O697" s="8" t="str">
        <x:v>PayPal</x:v>
      </x:c>
      <x:c r="P697" s="8" t="str">
        <x:v>Closed Won</x:v>
      </x:c>
    </x:row>
    <x:row r="698">
      <x:c r="A698" s="8" t="str">
        <x:v>ORD-2025697</x:v>
      </x:c>
      <x:c r="B698" s="9" t="n">
        <x:v>45868</x:v>
      </x:c>
      <x:c r="C698" s="8" t="str">
        <x:v>East</x:v>
      </x:c>
      <x:c r="D698" s="8" t="str">
        <x:v>Ava Patel</x:v>
      </x:c>
      <x:c r="E698" s="8" t="str">
        <x:v>Cedar Group</x:v>
      </x:c>
      <x:c r="F698" s="8" t="str">
        <x:v>Services</x:v>
      </x:c>
      <x:c r="G698" s="8" t="str">
        <x:v>Support Plus</x:v>
      </x:c>
      <x:c r="H698" s="10" t="n">
        <x:v>8</x:v>
      </x:c>
      <x:c r="I698" s="11" t="n">
        <x:v>650</x:v>
      </x:c>
      <x:c r="J698" s="12" t="n">
        <x:v>0</x:v>
      </x:c>
      <x:c r="K698" s="11" t="n">
        <x:f>H698*I698*(1-J698)</x:f>
        <x:v>5200</x:v>
      </x:c>
      <x:c r="L698" s="11" t="n">
        <x:f>H698*(I698*0.62)</x:f>
        <x:v>3224</x:v>
      </x:c>
      <x:c r="M698" s="11" t="n">
        <x:f>K698-L698</x:f>
        <x:v>1976</x:v>
      </x:c>
      <x:c r="N698" s="8" t="str">
        <x:v>Online</x:v>
      </x:c>
      <x:c r="O698" s="8" t="str">
        <x:v>Invoice</x:v>
      </x:c>
      <x:c r="P698" s="8" t="str">
        <x:v>Shipped</x:v>
      </x:c>
    </x:row>
    <x:row r="699">
      <x:c r="A699" s="8" t="str">
        <x:v>ORD-2025698</x:v>
      </x:c>
      <x:c r="B699" s="9" t="n">
        <x:v>45716</x:v>
      </x:c>
      <x:c r="C699" s="8" t="str">
        <x:v>East</x:v>
      </x:c>
      <x:c r="D699" s="8" t="str">
        <x:v>Noah Davis</x:v>
      </x:c>
      <x:c r="E699" s="8" t="str">
        <x:v>Acme Co</x:v>
      </x:c>
      <x:c r="F699" s="8" t="str">
        <x:v>Software</x:v>
      </x:c>
      <x:c r="G699" s="8" t="str">
        <x:v>HR Suite</x:v>
      </x:c>
      <x:c r="H699" s="10" t="n">
        <x:v>18</x:v>
      </x:c>
      <x:c r="I699" s="11" t="n">
        <x:v>950</x:v>
      </x:c>
      <x:c r="J699" s="12" t="n">
        <x:v>0</x:v>
      </x:c>
      <x:c r="K699" s="11" t="n">
        <x:f>H699*I699*(1-J699)</x:f>
        <x:v>17100</x:v>
      </x:c>
      <x:c r="L699" s="11" t="n">
        <x:f>H699*(I699*0.62)</x:f>
        <x:v>10602</x:v>
      </x:c>
      <x:c r="M699" s="11" t="n">
        <x:f>K699-L699</x:f>
        <x:v>6498</x:v>
      </x:c>
      <x:c r="N699" s="8" t="str">
        <x:v>Direct</x:v>
      </x:c>
      <x:c r="O699" s="8" t="str">
        <x:v>PayPal</x:v>
      </x:c>
      <x:c r="P699" s="8" t="str">
        <x:v>Shipped</x:v>
      </x:c>
    </x:row>
    <x:row r="700">
      <x:c r="A700" s="8" t="str">
        <x:v>ORD-2025699</x:v>
      </x:c>
      <x:c r="B700" s="9" t="n">
        <x:v>45794</x:v>
      </x:c>
      <x:c r="C700" s="8" t="str">
        <x:v>North</x:v>
      </x:c>
      <x:c r="D700" s="8" t="str">
        <x:v>Olivia Wilson</x:v>
      </x:c>
      <x:c r="E700" s="8" t="str">
        <x:v>Ironwood Group</x:v>
      </x:c>
      <x:c r="F700" s="8" t="str">
        <x:v>Accessories</x:v>
      </x:c>
      <x:c r="G700" s="8" t="str">
        <x:v>Headset</x:v>
      </x:c>
      <x:c r="H700" s="10" t="n">
        <x:v>1</x:v>
      </x:c>
      <x:c r="I700" s="11" t="n">
        <x:v>85</x:v>
      </x:c>
      <x:c r="J700" s="12" t="n">
        <x:v>0</x:v>
      </x:c>
      <x:c r="K700" s="11" t="n">
        <x:f>H700*I700*(1-J700)</x:f>
        <x:v>85</x:v>
      </x:c>
      <x:c r="L700" s="11" t="n">
        <x:f>H700*(I700*0.62)</x:f>
        <x:v>52.7</x:v>
      </x:c>
      <x:c r="M700" s="11" t="n">
        <x:f>K700-L700</x:f>
        <x:v>32.3</x:v>
      </x:c>
      <x:c r="N700" s="8" t="str">
        <x:v>Partner</x:v>
      </x:c>
      <x:c r="O700" s="8" t="str">
        <x:v>PayPal</x:v>
      </x:c>
      <x:c r="P700" s="8" t="str">
        <x:v>Closed Won</x:v>
      </x:c>
    </x:row>
    <x:row r="701">
      <x:c r="A701" s="8" t="str">
        <x:v>ORD-2025700</x:v>
      </x:c>
      <x:c r="B701" s="9" t="n">
        <x:v>45709</x:v>
      </x:c>
      <x:c r="C701" s="8" t="str">
        <x:v>South</x:v>
      </x:c>
      <x:c r="D701" s="8" t="str">
        <x:v>Sophia Kim</x:v>
      </x:c>
      <x:c r="E701" s="8" t="str">
        <x:v>NorthStar Group</x:v>
      </x:c>
      <x:c r="F701" s="8" t="str">
        <x:v>Software</x:v>
      </x:c>
      <x:c r="G701" s="8" t="str">
        <x:v>ProjectFlow</x:v>
      </x:c>
      <x:c r="H701" s="10" t="n">
        <x:v>17</x:v>
      </x:c>
      <x:c r="I701" s="11" t="n">
        <x:v>700</x:v>
      </x:c>
      <x:c r="J701" s="12" t="n">
        <x:v>0.2</x:v>
      </x:c>
      <x:c r="K701" s="11" t="n">
        <x:f>H701*I701*(1-J701)</x:f>
        <x:v>9520</x:v>
      </x:c>
      <x:c r="L701" s="11" t="n">
        <x:f>H701*(I701*0.62)</x:f>
        <x:v>7378</x:v>
      </x:c>
      <x:c r="M701" s="11" t="n">
        <x:f>K701-L701</x:f>
        <x:v>2142</x:v>
      </x:c>
      <x:c r="N701" s="8" t="str">
        <x:v>Online</x:v>
      </x:c>
      <x:c r="O701" s="8" t="str">
        <x:v>Invoice</x:v>
      </x:c>
      <x:c r="P701" s="8" t="str">
        <x:v>Closed Won</x:v>
      </x:c>
    </x:row>
    <x:row r="702">
      <x:c r="A702" s="8" t="str">
        <x:v>ORD-2025701</x:v>
      </x:c>
      <x:c r="B702" s="9" t="n">
        <x:v>45881</x:v>
      </x:c>
      <x:c r="C702" s="8" t="str">
        <x:v>South</x:v>
      </x:c>
      <x:c r="D702" s="8" t="str">
        <x:v>Olivia Wilson</x:v>
      </x:c>
      <x:c r="E702" s="8" t="str">
        <x:v>BlueSky Inc</x:v>
      </x:c>
      <x:c r="F702" s="8" t="str">
        <x:v>Services</x:v>
      </x:c>
      <x:c r="G702" s="8" t="str">
        <x:v>Support Plus</x:v>
      </x:c>
      <x:c r="H702" s="10" t="n">
        <x:v>18</x:v>
      </x:c>
      <x:c r="I702" s="11" t="n">
        <x:v>650</x:v>
      </x:c>
      <x:c r="J702" s="12" t="n">
        <x:v>0</x:v>
      </x:c>
      <x:c r="K702" s="11" t="n">
        <x:f>H702*I702*(1-J702)</x:f>
        <x:v>11700</x:v>
      </x:c>
      <x:c r="L702" s="11" t="n">
        <x:f>H702*(I702*0.62)</x:f>
        <x:v>7254</x:v>
      </x:c>
      <x:c r="M702" s="11" t="n">
        <x:f>K702-L702</x:f>
        <x:v>4446</x:v>
      </x:c>
      <x:c r="N702" s="8" t="str">
        <x:v>Partner</x:v>
      </x:c>
      <x:c r="O702" s="8" t="str">
        <x:v>Invoice</x:v>
      </x:c>
      <x:c r="P702" s="8" t="str">
        <x:v>Closed Won</x:v>
      </x:c>
    </x:row>
    <x:row r="703">
      <x:c r="A703" s="8" t="str">
        <x:v>ORD-2025702</x:v>
      </x:c>
      <x:c r="B703" s="9" t="n">
        <x:v>45977</x:v>
      </x:c>
      <x:c r="C703" s="8" t="str">
        <x:v>North</x:v>
      </x:c>
      <x:c r="D703" s="8" t="str">
        <x:v>Emma Martin</x:v>
      </x:c>
      <x:c r="E703" s="8" t="str">
        <x:v>Pioneer LLC</x:v>
      </x:c>
      <x:c r="F703" s="8" t="str">
        <x:v>Accessories</x:v>
      </x:c>
      <x:c r="G703" s="8" t="str">
        <x:v>Keyboard Pro</x:v>
      </x:c>
      <x:c r="H703" s="10" t="n">
        <x:v>19</x:v>
      </x:c>
      <x:c r="I703" s="11" t="n">
        <x:v>95</x:v>
      </x:c>
      <x:c r="J703" s="12" t="n">
        <x:v>0</x:v>
      </x:c>
      <x:c r="K703" s="11" t="n">
        <x:f>H703*I703*(1-J703)</x:f>
        <x:v>1805</x:v>
      </x:c>
      <x:c r="L703" s="11" t="n">
        <x:f>H703*(I703*0.62)</x:f>
        <x:v>1119.1</x:v>
      </x:c>
      <x:c r="M703" s="11" t="n">
        <x:f>K703-L703</x:f>
        <x:v>685.9000000000001</x:v>
      </x:c>
      <x:c r="N703" s="8" t="str">
        <x:v>Partner</x:v>
      </x:c>
      <x:c r="O703" s="8" t="str">
        <x:v>Credit Card</x:v>
      </x:c>
      <x:c r="P703" s="8" t="str">
        <x:v>Shipped</x:v>
      </x:c>
    </x:row>
    <x:row r="704">
      <x:c r="A704" s="8" t="str">
        <x:v>ORD-2025703</x:v>
      </x:c>
      <x:c r="B704" s="9" t="n">
        <x:v>45765</x:v>
      </x:c>
      <x:c r="C704" s="8" t="str">
        <x:v>East</x:v>
      </x:c>
      <x:c r="D704" s="8" t="str">
        <x:v>Liam Chen</x:v>
      </x:c>
      <x:c r="E704" s="8" t="str">
        <x:v>Vertex Co</x:v>
      </x:c>
      <x:c r="F704" s="8" t="str">
        <x:v>Accessories</x:v>
      </x:c>
      <x:c r="G704" s="8" t="str">
        <x:v>Headset</x:v>
      </x:c>
      <x:c r="H704" s="10" t="n">
        <x:v>17</x:v>
      </x:c>
      <x:c r="I704" s="11" t="n">
        <x:v>85</x:v>
      </x:c>
      <x:c r="J704" s="12" t="n">
        <x:v>0.2</x:v>
      </x:c>
      <x:c r="K704" s="11" t="n">
        <x:f>H704*I704*(1-J704)</x:f>
        <x:v>1156</x:v>
      </x:c>
      <x:c r="L704" s="11" t="n">
        <x:f>H704*(I704*0.62)</x:f>
        <x:v>895.9000000000001</x:v>
      </x:c>
      <x:c r="M704" s="11" t="n">
        <x:f>K704-L704</x:f>
        <x:v>260.0999999999999</x:v>
      </x:c>
      <x:c r="N704" s="8" t="str">
        <x:v>Partner</x:v>
      </x:c>
      <x:c r="O704" s="8" t="str">
        <x:v>PayPal</x:v>
      </x:c>
      <x:c r="P704" s="8" t="str">
        <x:v>Shipped</x:v>
      </x:c>
    </x:row>
    <x:row r="705">
      <x:c r="A705" s="8" t="str">
        <x:v>ORD-2025704</x:v>
      </x:c>
      <x:c r="B705" s="9" t="n">
        <x:v>45870</x:v>
      </x:c>
      <x:c r="C705" s="8" t="str">
        <x:v>West</x:v>
      </x:c>
      <x:c r="D705" s="8" t="str">
        <x:v>Ethan Garcia</x:v>
      </x:c>
      <x:c r="E705" s="8" t="str">
        <x:v>Nova Group</x:v>
      </x:c>
      <x:c r="F705" s="8" t="str">
        <x:v>Services</x:v>
      </x:c>
      <x:c r="G705" s="8" t="str">
        <x:v>Training</x:v>
      </x:c>
      <x:c r="H705" s="10" t="n">
        <x:v>17</x:v>
      </x:c>
      <x:c r="I705" s="11" t="n">
        <x:v>900</x:v>
      </x:c>
      <x:c r="J705" s="12" t="n">
        <x:v>0.05</x:v>
      </x:c>
      <x:c r="K705" s="11" t="n">
        <x:f>H705*I705*(1-J705)</x:f>
        <x:v>14535</x:v>
      </x:c>
      <x:c r="L705" s="11" t="n">
        <x:f>H705*(I705*0.62)</x:f>
        <x:v>9486</x:v>
      </x:c>
      <x:c r="M705" s="11" t="n">
        <x:f>K705-L705</x:f>
        <x:v>5049</x:v>
      </x:c>
      <x:c r="N705" s="8" t="str">
        <x:v>Online</x:v>
      </x:c>
      <x:c r="O705" s="8" t="str">
        <x:v>Bank Transfer</x:v>
      </x:c>
      <x:c r="P705" s="8" t="str">
        <x:v>Cancelled</x:v>
      </x:c>
    </x:row>
    <x:row r="706">
      <x:c r="A706" s="8" t="str">
        <x:v>ORD-2025705</x:v>
      </x:c>
      <x:c r="B706" s="9" t="n">
        <x:v>45767</x:v>
      </x:c>
      <x:c r="C706" s="8" t="str">
        <x:v>West</x:v>
      </x:c>
      <x:c r="D706" s="8" t="str">
        <x:v>Ethan Garcia</x:v>
      </x:c>
      <x:c r="E706" s="8" t="str">
        <x:v>Maple LLC</x:v>
      </x:c>
      <x:c r="F706" s="8" t="str">
        <x:v>Hardware</x:v>
      </x:c>
      <x:c r="G706" s="8" t="str">
        <x:v>Monitor 27</x:v>
      </x:c>
      <x:c r="H706" s="10" t="n">
        <x:v>20</x:v>
      </x:c>
      <x:c r="I706" s="11" t="n">
        <x:v>320</x:v>
      </x:c>
      <x:c r="J706" s="12" t="n">
        <x:v>0.2</x:v>
      </x:c>
      <x:c r="K706" s="11" t="n">
        <x:f>H706*I706*(1-J706)</x:f>
        <x:v>5120</x:v>
      </x:c>
      <x:c r="L706" s="11" t="n">
        <x:f>H706*(I706*0.62)</x:f>
        <x:v>3968</x:v>
      </x:c>
      <x:c r="M706" s="11" t="n">
        <x:f>K706-L706</x:f>
        <x:v>1152</x:v>
      </x:c>
      <x:c r="N706" s="8" t="str">
        <x:v>Partner</x:v>
      </x:c>
      <x:c r="O706" s="8" t="str">
        <x:v>Credit Card</x:v>
      </x:c>
      <x:c r="P706" s="8" t="str">
        <x:v>Pending</x:v>
      </x:c>
    </x:row>
    <x:row r="707">
      <x:c r="A707" s="8" t="str">
        <x:v>ORD-2025706</x:v>
      </x:c>
      <x:c r="B707" s="9" t="n">
        <x:v>45733</x:v>
      </x:c>
      <x:c r="C707" s="8" t="str">
        <x:v>South</x:v>
      </x:c>
      <x:c r="D707" s="8" t="str">
        <x:v>Noah Davis</x:v>
      </x:c>
      <x:c r="E707" s="8" t="str">
        <x:v>Vertex Co</x:v>
      </x:c>
      <x:c r="F707" s="8" t="str">
        <x:v>Services</x:v>
      </x:c>
      <x:c r="G707" s="8" t="str">
        <x:v>Consulting Day</x:v>
      </x:c>
      <x:c r="H707" s="10" t="n">
        <x:v>14</x:v>
      </x:c>
      <x:c r="I707" s="11" t="n">
        <x:v>1400</x:v>
      </x:c>
      <x:c r="J707" s="12" t="n">
        <x:v>0.05</x:v>
      </x:c>
      <x:c r="K707" s="11" t="n">
        <x:f>H707*I707*(1-J707)</x:f>
        <x:v>18620</x:v>
      </x:c>
      <x:c r="L707" s="11" t="n">
        <x:f>H707*(I707*0.62)</x:f>
        <x:v>12152</x:v>
      </x:c>
      <x:c r="M707" s="11" t="n">
        <x:f>K707-L707</x:f>
        <x:v>6468</x:v>
      </x:c>
      <x:c r="N707" s="8" t="str">
        <x:v>Partner</x:v>
      </x:c>
      <x:c r="O707" s="8" t="str">
        <x:v>Credit Card</x:v>
      </x:c>
      <x:c r="P707" s="8" t="str">
        <x:v>Shipped</x:v>
      </x:c>
    </x:row>
    <x:row r="708">
      <x:c r="A708" s="8" t="str">
        <x:v>ORD-2025707</x:v>
      </x:c>
      <x:c r="B708" s="9" t="n">
        <x:v>45804</x:v>
      </x:c>
      <x:c r="C708" s="8" t="str">
        <x:v>South</x:v>
      </x:c>
      <x:c r="D708" s="8" t="str">
        <x:v>Ethan Garcia</x:v>
      </x:c>
      <x:c r="E708" s="8" t="str">
        <x:v>Nova LLC</x:v>
      </x:c>
      <x:c r="F708" s="8" t="str">
        <x:v>Accessories</x:v>
      </x:c>
      <x:c r="G708" s="8" t="str">
        <x:v>Webcam HD</x:v>
      </x:c>
      <x:c r="H708" s="10" t="n">
        <x:v>8</x:v>
      </x:c>
      <x:c r="I708" s="11" t="n">
        <x:v>110</x:v>
      </x:c>
      <x:c r="J708" s="12" t="n">
        <x:v>0.05</x:v>
      </x:c>
      <x:c r="K708" s="11" t="n">
        <x:f>H708*I708*(1-J708)</x:f>
        <x:v>836</x:v>
      </x:c>
      <x:c r="L708" s="11" t="n">
        <x:f>H708*(I708*0.62)</x:f>
        <x:v>545.6</x:v>
      </x:c>
      <x:c r="M708" s="11" t="n">
        <x:f>K708-L708</x:f>
        <x:v>290.4</x:v>
      </x:c>
      <x:c r="N708" s="8" t="str">
        <x:v>Direct</x:v>
      </x:c>
      <x:c r="O708" s="8" t="str">
        <x:v>Credit Card</x:v>
      </x:c>
      <x:c r="P708" s="8" t="str">
        <x:v>Closed Won</x:v>
      </x:c>
    </x:row>
    <x:row r="709">
      <x:c r="A709" s="8" t="str">
        <x:v>ORD-2025708</x:v>
      </x:c>
      <x:c r="B709" s="9" t="n">
        <x:v>45816</x:v>
      </x:c>
      <x:c r="C709" s="8" t="str">
        <x:v>West</x:v>
      </x:c>
      <x:c r="D709" s="8" t="str">
        <x:v>Olivia Wilson</x:v>
      </x:c>
      <x:c r="E709" s="8" t="str">
        <x:v>Maple Group</x:v>
      </x:c>
      <x:c r="F709" s="8" t="str">
        <x:v>Software</x:v>
      </x:c>
      <x:c r="G709" s="8" t="str">
        <x:v>Analytics Cloud</x:v>
      </x:c>
      <x:c r="H709" s="10" t="n">
        <x:v>14</x:v>
      </x:c>
      <x:c r="I709" s="11" t="n">
        <x:v>1800</x:v>
      </x:c>
      <x:c r="J709" s="12" t="n">
        <x:v>0.05</x:v>
      </x:c>
      <x:c r="K709" s="11" t="n">
        <x:f>H709*I709*(1-J709)</x:f>
        <x:v>23940</x:v>
      </x:c>
      <x:c r="L709" s="11" t="n">
        <x:f>H709*(I709*0.62)</x:f>
        <x:v>15624</x:v>
      </x:c>
      <x:c r="M709" s="11" t="n">
        <x:f>K709-L709</x:f>
        <x:v>8316</x:v>
      </x:c>
      <x:c r="N709" s="8" t="str">
        <x:v>Online</x:v>
      </x:c>
      <x:c r="O709" s="8" t="str">
        <x:v>Credit Card</x:v>
      </x:c>
      <x:c r="P709" s="8" t="str">
        <x:v>Closed Won</x:v>
      </x:c>
    </x:row>
    <x:row r="710">
      <x:c r="A710" s="8" t="str">
        <x:v>ORD-2025709</x:v>
      </x:c>
      <x:c r="B710" s="9" t="n">
        <x:v>45672</x:v>
      </x:c>
      <x:c r="C710" s="8" t="str">
        <x:v>East</x:v>
      </x:c>
      <x:c r="D710" s="8" t="str">
        <x:v>Ethan Garcia</x:v>
      </x:c>
      <x:c r="E710" s="8" t="str">
        <x:v>Maple Co</x:v>
      </x:c>
      <x:c r="F710" s="8" t="str">
        <x:v>Services</x:v>
      </x:c>
      <x:c r="G710" s="8" t="str">
        <x:v>Training</x:v>
      </x:c>
      <x:c r="H710" s="10" t="n">
        <x:v>6</x:v>
      </x:c>
      <x:c r="I710" s="11" t="n">
        <x:v>900</x:v>
      </x:c>
      <x:c r="J710" s="12" t="n">
        <x:v>0.15</x:v>
      </x:c>
      <x:c r="K710" s="11" t="n">
        <x:f>H710*I710*(1-J710)</x:f>
        <x:v>4590</x:v>
      </x:c>
      <x:c r="L710" s="11" t="n">
        <x:f>H710*(I710*0.62)</x:f>
        <x:v>3348</x:v>
      </x:c>
      <x:c r="M710" s="11" t="n">
        <x:f>K710-L710</x:f>
        <x:v>1242</x:v>
      </x:c>
      <x:c r="N710" s="8" t="str">
        <x:v>Direct</x:v>
      </x:c>
      <x:c r="O710" s="8" t="str">
        <x:v>PayPal</x:v>
      </x:c>
      <x:c r="P710" s="8" t="str">
        <x:v>Shipped</x:v>
      </x:c>
    </x:row>
    <x:row r="711">
      <x:c r="A711" s="8" t="str">
        <x:v>ORD-2025710</x:v>
      </x:c>
      <x:c r="B711" s="9" t="n">
        <x:v>45818</x:v>
      </x:c>
      <x:c r="C711" s="8" t="str">
        <x:v>Central</x:v>
      </x:c>
      <x:c r="D711" s="8" t="str">
        <x:v>Ethan Garcia</x:v>
      </x:c>
      <x:c r="E711" s="8" t="str">
        <x:v>BlueSky LLC</x:v>
      </x:c>
      <x:c r="F711" s="8" t="str">
        <x:v>Software</x:v>
      </x:c>
      <x:c r="G711" s="8" t="str">
        <x:v>CRM Pro</x:v>
      </x:c>
      <x:c r="H711" s="10" t="n">
        <x:v>14</x:v>
      </x:c>
      <x:c r="I711" s="11" t="n">
        <x:v>1200</x:v>
      </x:c>
      <x:c r="J711" s="12" t="n">
        <x:v>0</x:v>
      </x:c>
      <x:c r="K711" s="11" t="n">
        <x:f>H711*I711*(1-J711)</x:f>
        <x:v>16800</x:v>
      </x:c>
      <x:c r="L711" s="11" t="n">
        <x:f>H711*(I711*0.62)</x:f>
        <x:v>10416</x:v>
      </x:c>
      <x:c r="M711" s="11" t="n">
        <x:f>K711-L711</x:f>
        <x:v>6384</x:v>
      </x:c>
      <x:c r="N711" s="8" t="str">
        <x:v>Online</x:v>
      </x:c>
      <x:c r="O711" s="8" t="str">
        <x:v>Credit Card</x:v>
      </x:c>
      <x:c r="P711" s="8" t="str">
        <x:v>Closed Won</x:v>
      </x:c>
    </x:row>
    <x:row r="712">
      <x:c r="A712" s="8" t="str">
        <x:v>ORD-2025711</x:v>
      </x:c>
      <x:c r="B712" s="9" t="n">
        <x:v>45715</x:v>
      </x:c>
      <x:c r="C712" s="8" t="str">
        <x:v>Central</x:v>
      </x:c>
      <x:c r="D712" s="8" t="str">
        <x:v>Mason Lee</x:v>
      </x:c>
      <x:c r="E712" s="8" t="str">
        <x:v>Pioneer Group</x:v>
      </x:c>
      <x:c r="F712" s="8" t="str">
        <x:v>Hardware</x:v>
      </x:c>
      <x:c r="G712" s="8" t="str">
        <x:v>Tablet Air</x:v>
      </x:c>
      <x:c r="H712" s="10" t="n">
        <x:v>17</x:v>
      </x:c>
      <x:c r="I712" s="11" t="n">
        <x:v>820</x:v>
      </x:c>
      <x:c r="J712" s="12" t="n">
        <x:v>0.15</x:v>
      </x:c>
      <x:c r="K712" s="11" t="n">
        <x:f>H712*I712*(1-J712)</x:f>
        <x:v>11849</x:v>
      </x:c>
      <x:c r="L712" s="11" t="n">
        <x:f>H712*(I712*0.62)</x:f>
        <x:v>8642.8</x:v>
      </x:c>
      <x:c r="M712" s="11" t="n">
        <x:f>K712-L712</x:f>
        <x:v>3206.2000000000007</x:v>
      </x:c>
      <x:c r="N712" s="8" t="str">
        <x:v>Online</x:v>
      </x:c>
      <x:c r="O712" s="8" t="str">
        <x:v>Invoice</x:v>
      </x:c>
      <x:c r="P712" s="8" t="str">
        <x:v>Pending</x:v>
      </x:c>
    </x:row>
    <x:row r="713">
      <x:c r="A713" s="8" t="str">
        <x:v>ORD-2025712</x:v>
      </x:c>
      <x:c r="B713" s="9" t="n">
        <x:v>45965</x:v>
      </x:c>
      <x:c r="C713" s="8" t="str">
        <x:v>North</x:v>
      </x:c>
      <x:c r="D713" s="8" t="str">
        <x:v>Sophia Kim</x:v>
      </x:c>
      <x:c r="E713" s="8" t="str">
        <x:v>BrightPath Co</x:v>
      </x:c>
      <x:c r="F713" s="8" t="str">
        <x:v>Software</x:v>
      </x:c>
      <x:c r="G713" s="8" t="str">
        <x:v>Analytics Cloud</x:v>
      </x:c>
      <x:c r="H713" s="10" t="n">
        <x:v>19</x:v>
      </x:c>
      <x:c r="I713" s="11" t="n">
        <x:v>1800</x:v>
      </x:c>
      <x:c r="J713" s="12" t="n">
        <x:v>0.15</x:v>
      </x:c>
      <x:c r="K713" s="11" t="n">
        <x:f>H713*I713*(1-J713)</x:f>
        <x:v>29070</x:v>
      </x:c>
      <x:c r="L713" s="11" t="n">
        <x:f>H713*(I713*0.62)</x:f>
        <x:v>21204</x:v>
      </x:c>
      <x:c r="M713" s="11" t="n">
        <x:f>K713-L713</x:f>
        <x:v>7866</x:v>
      </x:c>
      <x:c r="N713" s="8" t="str">
        <x:v>Partner</x:v>
      </x:c>
      <x:c r="O713" s="8" t="str">
        <x:v>Bank Transfer</x:v>
      </x:c>
      <x:c r="P713" s="8" t="str">
        <x:v>Cancelled</x:v>
      </x:c>
    </x:row>
    <x:row r="714">
      <x:c r="A714" s="8" t="str">
        <x:v>ORD-2025713</x:v>
      </x:c>
      <x:c r="B714" s="9" t="n">
        <x:v>45712</x:v>
      </x:c>
      <x:c r="C714" s="8" t="str">
        <x:v>South</x:v>
      </x:c>
      <x:c r="D714" s="8" t="str">
        <x:v>Mia Johnson</x:v>
      </x:c>
      <x:c r="E714" s="8" t="str">
        <x:v>Prime Group</x:v>
      </x:c>
      <x:c r="F714" s="8" t="str">
        <x:v>Hardware</x:v>
      </x:c>
      <x:c r="G714" s="8" t="str">
        <x:v>Tablet Air</x:v>
      </x:c>
      <x:c r="H714" s="10" t="n">
        <x:v>15</x:v>
      </x:c>
      <x:c r="I714" s="11" t="n">
        <x:v>820</x:v>
      </x:c>
      <x:c r="J714" s="12" t="n">
        <x:v>0.05</x:v>
      </x:c>
      <x:c r="K714" s="11" t="n">
        <x:f>H714*I714*(1-J714)</x:f>
        <x:v>11685</x:v>
      </x:c>
      <x:c r="L714" s="11" t="n">
        <x:f>H714*(I714*0.62)</x:f>
        <x:v>7626</x:v>
      </x:c>
      <x:c r="M714" s="11" t="n">
        <x:f>K714-L714</x:f>
        <x:v>4059</x:v>
      </x:c>
      <x:c r="N714" s="8" t="str">
        <x:v>Partner</x:v>
      </x:c>
      <x:c r="O714" s="8" t="str">
        <x:v>Credit Card</x:v>
      </x:c>
      <x:c r="P714" s="8" t="str">
        <x:v>Pending</x:v>
      </x:c>
    </x:row>
    <x:row r="715">
      <x:c r="A715" s="8" t="str">
        <x:v>ORD-2025714</x:v>
      </x:c>
      <x:c r="B715" s="9" t="n">
        <x:v>45820</x:v>
      </x:c>
      <x:c r="C715" s="8" t="str">
        <x:v>Central</x:v>
      </x:c>
      <x:c r="D715" s="8" t="str">
        <x:v>Lucas Brown</x:v>
      </x:c>
      <x:c r="E715" s="8" t="str">
        <x:v>NorthStar LLC</x:v>
      </x:c>
      <x:c r="F715" s="8" t="str">
        <x:v>Services</x:v>
      </x:c>
      <x:c r="G715" s="8" t="str">
        <x:v>Implementation</x:v>
      </x:c>
      <x:c r="H715" s="10" t="n">
        <x:v>22</x:v>
      </x:c>
      <x:c r="I715" s="11" t="n">
        <x:v>2500</x:v>
      </x:c>
      <x:c r="J715" s="12" t="n">
        <x:v>0</x:v>
      </x:c>
      <x:c r="K715" s="11" t="n">
        <x:f>H715*I715*(1-J715)</x:f>
        <x:v>55000</x:v>
      </x:c>
      <x:c r="L715" s="11" t="n">
        <x:f>H715*(I715*0.62)</x:f>
        <x:v>34100</x:v>
      </x:c>
      <x:c r="M715" s="11" t="n">
        <x:f>K715-L715</x:f>
        <x:v>20900</x:v>
      </x:c>
      <x:c r="N715" s="8" t="str">
        <x:v>Partner</x:v>
      </x:c>
      <x:c r="O715" s="8" t="str">
        <x:v>Bank Transfer</x:v>
      </x:c>
      <x:c r="P715" s="8" t="str">
        <x:v>Closed Won</x:v>
      </x:c>
    </x:row>
    <x:row r="716">
      <x:c r="A716" s="8" t="str">
        <x:v>ORD-2025715</x:v>
      </x:c>
      <x:c r="B716" s="9" t="n">
        <x:v>45668</x:v>
      </x:c>
      <x:c r="C716" s="8" t="str">
        <x:v>Central</x:v>
      </x:c>
      <x:c r="D716" s="8" t="str">
        <x:v>Ava Patel</x:v>
      </x:c>
      <x:c r="E716" s="8" t="str">
        <x:v>Summit Co</x:v>
      </x:c>
      <x:c r="F716" s="8" t="str">
        <x:v>Services</x:v>
      </x:c>
      <x:c r="G716" s="8" t="str">
        <x:v>Support Plus</x:v>
      </x:c>
      <x:c r="H716" s="10" t="n">
        <x:v>23</x:v>
      </x:c>
      <x:c r="I716" s="11" t="n">
        <x:v>650</x:v>
      </x:c>
      <x:c r="J716" s="12" t="n">
        <x:v>0.2</x:v>
      </x:c>
      <x:c r="K716" s="11" t="n">
        <x:f>H716*I716*(1-J716)</x:f>
        <x:v>11960</x:v>
      </x:c>
      <x:c r="L716" s="11" t="n">
        <x:f>H716*(I716*0.62)</x:f>
        <x:v>9269</x:v>
      </x:c>
      <x:c r="M716" s="11" t="n">
        <x:f>K716-L716</x:f>
        <x:v>2691</x:v>
      </x:c>
      <x:c r="N716" s="8" t="str">
        <x:v>Online</x:v>
      </x:c>
      <x:c r="O716" s="8" t="str">
        <x:v>Bank Transfer</x:v>
      </x:c>
      <x:c r="P716" s="8" t="str">
        <x:v>Closed Won</x:v>
      </x:c>
    </x:row>
    <x:row r="717">
      <x:c r="A717" s="8" t="str">
        <x:v>ORD-2025716</x:v>
      </x:c>
      <x:c r="B717" s="9" t="n">
        <x:v>45985</x:v>
      </x:c>
      <x:c r="C717" s="8" t="str">
        <x:v>East</x:v>
      </x:c>
      <x:c r="D717" s="8" t="str">
        <x:v>Liam Chen</x:v>
      </x:c>
      <x:c r="E717" s="8" t="str">
        <x:v>Maple LLC</x:v>
      </x:c>
      <x:c r="F717" s="8" t="str">
        <x:v>Accessories</x:v>
      </x:c>
      <x:c r="G717" s="8" t="str">
        <x:v>Webcam HD</x:v>
      </x:c>
      <x:c r="H717" s="10" t="n">
        <x:v>8</x:v>
      </x:c>
      <x:c r="I717" s="11" t="n">
        <x:v>110</x:v>
      </x:c>
      <x:c r="J717" s="12" t="n">
        <x:v>0.2</x:v>
      </x:c>
      <x:c r="K717" s="11" t="n">
        <x:f>H717*I717*(1-J717)</x:f>
        <x:v>704</x:v>
      </x:c>
      <x:c r="L717" s="11" t="n">
        <x:f>H717*(I717*0.62)</x:f>
        <x:v>545.6</x:v>
      </x:c>
      <x:c r="M717" s="11" t="n">
        <x:f>K717-L717</x:f>
        <x:v>158.39999999999998</x:v>
      </x:c>
      <x:c r="N717" s="8" t="str">
        <x:v>Partner</x:v>
      </x:c>
      <x:c r="O717" s="8" t="str">
        <x:v>PayPal</x:v>
      </x:c>
      <x:c r="P717" s="8" t="str">
        <x:v>Closed Won</x:v>
      </x:c>
    </x:row>
    <x:row r="718">
      <x:c r="A718" s="8" t="str">
        <x:v>ORD-2025717</x:v>
      </x:c>
      <x:c r="B718" s="9" t="n">
        <x:v>45812</x:v>
      </x:c>
      <x:c r="C718" s="8" t="str">
        <x:v>North</x:v>
      </x:c>
      <x:c r="D718" s="8" t="str">
        <x:v>Mia Johnson</x:v>
      </x:c>
      <x:c r="E718" s="8" t="str">
        <x:v>Vertex Co</x:v>
      </x:c>
      <x:c r="F718" s="8" t="str">
        <x:v>Accessories</x:v>
      </x:c>
      <x:c r="G718" s="8" t="str">
        <x:v>Webcam HD</x:v>
      </x:c>
      <x:c r="H718" s="10" t="n">
        <x:v>7</x:v>
      </x:c>
      <x:c r="I718" s="11" t="n">
        <x:v>110</x:v>
      </x:c>
      <x:c r="J718" s="12" t="n">
        <x:v>0.2</x:v>
      </x:c>
      <x:c r="K718" s="11" t="n">
        <x:f>H718*I718*(1-J718)</x:f>
        <x:v>616</x:v>
      </x:c>
      <x:c r="L718" s="11" t="n">
        <x:f>H718*(I718*0.62)</x:f>
        <x:v>477.40000000000003</x:v>
      </x:c>
      <x:c r="M718" s="11" t="n">
        <x:f>K718-L718</x:f>
        <x:v>138.59999999999997</x:v>
      </x:c>
      <x:c r="N718" s="8" t="str">
        <x:v>Direct</x:v>
      </x:c>
      <x:c r="O718" s="8" t="str">
        <x:v>PayPal</x:v>
      </x:c>
      <x:c r="P718" s="8" t="str">
        <x:v>Shipped</x:v>
      </x:c>
    </x:row>
    <x:row r="719">
      <x:c r="A719" s="8" t="str">
        <x:v>ORD-2025718</x:v>
      </x:c>
      <x:c r="B719" s="9" t="n">
        <x:v>45798</x:v>
      </x:c>
      <x:c r="C719" s="8" t="str">
        <x:v>North</x:v>
      </x:c>
      <x:c r="D719" s="8" t="str">
        <x:v>Olivia Wilson</x:v>
      </x:c>
      <x:c r="E719" s="8" t="str">
        <x:v>NorthStar LLC</x:v>
      </x:c>
      <x:c r="F719" s="8" t="str">
        <x:v>Accessories</x:v>
      </x:c>
      <x:c r="G719" s="8" t="str">
        <x:v>Wireless Mouse</x:v>
      </x:c>
      <x:c r="H719" s="10" t="n">
        <x:v>24</x:v>
      </x:c>
      <x:c r="I719" s="11" t="n">
        <x:v>40</x:v>
      </x:c>
      <x:c r="J719" s="12" t="n">
        <x:v>0.05</x:v>
      </x:c>
      <x:c r="K719" s="11" t="n">
        <x:f>H719*I719*(1-J719)</x:f>
        <x:v>912</x:v>
      </x:c>
      <x:c r="L719" s="11" t="n">
        <x:f>H719*(I719*0.62)</x:f>
        <x:v>595.2</x:v>
      </x:c>
      <x:c r="M719" s="11" t="n">
        <x:f>K719-L719</x:f>
        <x:v>316.79999999999995</x:v>
      </x:c>
      <x:c r="N719" s="8" t="str">
        <x:v>Partner</x:v>
      </x:c>
      <x:c r="O719" s="8" t="str">
        <x:v>PayPal</x:v>
      </x:c>
      <x:c r="P719" s="8" t="str">
        <x:v>Returned</x:v>
      </x:c>
    </x:row>
    <x:row r="720">
      <x:c r="A720" s="8" t="str">
        <x:v>ORD-2025719</x:v>
      </x:c>
      <x:c r="B720" s="9" t="n">
        <x:v>46015</x:v>
      </x:c>
      <x:c r="C720" s="8" t="str">
        <x:v>East</x:v>
      </x:c>
      <x:c r="D720" s="8" t="str">
        <x:v>Mason Lee</x:v>
      </x:c>
      <x:c r="E720" s="8" t="str">
        <x:v>BlueSky LLC</x:v>
      </x:c>
      <x:c r="F720" s="8" t="str">
        <x:v>Software</x:v>
      </x:c>
      <x:c r="G720" s="8" t="str">
        <x:v>Analytics Cloud</x:v>
      </x:c>
      <x:c r="H720" s="10" t="n">
        <x:v>12</x:v>
      </x:c>
      <x:c r="I720" s="11" t="n">
        <x:v>1800</x:v>
      </x:c>
      <x:c r="J720" s="12" t="n">
        <x:v>0.05</x:v>
      </x:c>
      <x:c r="K720" s="11" t="n">
        <x:f>H720*I720*(1-J720)</x:f>
        <x:v>20520</x:v>
      </x:c>
      <x:c r="L720" s="11" t="n">
        <x:f>H720*(I720*0.62)</x:f>
        <x:v>13392</x:v>
      </x:c>
      <x:c r="M720" s="11" t="n">
        <x:f>K720-L720</x:f>
        <x:v>7128</x:v>
      </x:c>
      <x:c r="N720" s="8" t="str">
        <x:v>Online</x:v>
      </x:c>
      <x:c r="O720" s="8" t="str">
        <x:v>Invoice</x:v>
      </x:c>
      <x:c r="P720" s="8" t="str">
        <x:v>Pending</x:v>
      </x:c>
    </x:row>
    <x:row r="721">
      <x:c r="A721" s="8" t="str">
        <x:v>ORD-2025720</x:v>
      </x:c>
      <x:c r="B721" s="9" t="n">
        <x:v>45986</x:v>
      </x:c>
      <x:c r="C721" s="8" t="str">
        <x:v>South</x:v>
      </x:c>
      <x:c r="D721" s="8" t="str">
        <x:v>Olivia Wilson</x:v>
      </x:c>
      <x:c r="E721" s="8" t="str">
        <x:v>Urban Inc</x:v>
      </x:c>
      <x:c r="F721" s="8" t="str">
        <x:v>Software</x:v>
      </x:c>
      <x:c r="G721" s="8" t="str">
        <x:v>CRM Pro</x:v>
      </x:c>
      <x:c r="H721" s="10" t="n">
        <x:v>1</x:v>
      </x:c>
      <x:c r="I721" s="11" t="n">
        <x:v>1200</x:v>
      </x:c>
      <x:c r="J721" s="12" t="n">
        <x:v>0.05</x:v>
      </x:c>
      <x:c r="K721" s="11" t="n">
        <x:f>H721*I721*(1-J721)</x:f>
        <x:v>1140</x:v>
      </x:c>
      <x:c r="L721" s="11" t="n">
        <x:f>H721*(I721*0.62)</x:f>
        <x:v>744</x:v>
      </x:c>
      <x:c r="M721" s="11" t="n">
        <x:f>K721-L721</x:f>
        <x:v>396</x:v>
      </x:c>
      <x:c r="N721" s="8" t="str">
        <x:v>Direct</x:v>
      </x:c>
      <x:c r="O721" s="8" t="str">
        <x:v>Invoice</x:v>
      </x:c>
      <x:c r="P721" s="8" t="str">
        <x:v>Closed Won</x:v>
      </x:c>
    </x:row>
    <x:row r="722">
      <x:c r="A722" s="8" t="str">
        <x:v>ORD-2025721</x:v>
      </x:c>
      <x:c r="B722" s="9" t="n">
        <x:v>45738</x:v>
      </x:c>
      <x:c r="C722" s="8" t="str">
        <x:v>South</x:v>
      </x:c>
      <x:c r="D722" s="8" t="str">
        <x:v>Mason Lee</x:v>
      </x:c>
      <x:c r="E722" s="8" t="str">
        <x:v>Urban LLC</x:v>
      </x:c>
      <x:c r="F722" s="8" t="str">
        <x:v>Software</x:v>
      </x:c>
      <x:c r="G722" s="8" t="str">
        <x:v>CRM Pro</x:v>
      </x:c>
      <x:c r="H722" s="10" t="n">
        <x:v>20</x:v>
      </x:c>
      <x:c r="I722" s="11" t="n">
        <x:v>1200</x:v>
      </x:c>
      <x:c r="J722" s="12" t="n">
        <x:v>0.15</x:v>
      </x:c>
      <x:c r="K722" s="11" t="n">
        <x:f>H722*I722*(1-J722)</x:f>
        <x:v>20400</x:v>
      </x:c>
      <x:c r="L722" s="11" t="n">
        <x:f>H722*(I722*0.62)</x:f>
        <x:v>14880</x:v>
      </x:c>
      <x:c r="M722" s="11" t="n">
        <x:f>K722-L722</x:f>
        <x:v>5520</x:v>
      </x:c>
      <x:c r="N722" s="8" t="str">
        <x:v>Partner</x:v>
      </x:c>
      <x:c r="O722" s="8" t="str">
        <x:v>Invoice</x:v>
      </x:c>
      <x:c r="P722" s="8" t="str">
        <x:v>Pending</x:v>
      </x:c>
    </x:row>
    <x:row r="723">
      <x:c r="A723" s="8" t="str">
        <x:v>ORD-2025722</x:v>
      </x:c>
      <x:c r="B723" s="9" t="n">
        <x:v>45746</x:v>
      </x:c>
      <x:c r="C723" s="8" t="str">
        <x:v>Central</x:v>
      </x:c>
      <x:c r="D723" s="8" t="str">
        <x:v>Sophia Kim</x:v>
      </x:c>
      <x:c r="E723" s="8" t="str">
        <x:v>Vertex LLC</x:v>
      </x:c>
      <x:c r="F723" s="8" t="str">
        <x:v>Hardware</x:v>
      </x:c>
      <x:c r="G723" s="8" t="str">
        <x:v>Dock Station</x:v>
      </x:c>
      <x:c r="H723" s="10" t="n">
        <x:v>7</x:v>
      </x:c>
      <x:c r="I723" s="11" t="n">
        <x:v>180</x:v>
      </x:c>
      <x:c r="J723" s="12" t="n">
        <x:v>0</x:v>
      </x:c>
      <x:c r="K723" s="11" t="n">
        <x:f>H723*I723*(1-J723)</x:f>
        <x:v>1260</x:v>
      </x:c>
      <x:c r="L723" s="11" t="n">
        <x:f>H723*(I723*0.62)</x:f>
        <x:v>781.1999999999999</x:v>
      </x:c>
      <x:c r="M723" s="11" t="n">
        <x:f>K723-L723</x:f>
        <x:v>478.80000000000007</x:v>
      </x:c>
      <x:c r="N723" s="8" t="str">
        <x:v>Partner</x:v>
      </x:c>
      <x:c r="O723" s="8" t="str">
        <x:v>Invoice</x:v>
      </x:c>
      <x:c r="P723" s="8" t="str">
        <x:v>Closed Won</x:v>
      </x:c>
    </x:row>
    <x:row r="724">
      <x:c r="A724" s="8" t="str">
        <x:v>ORD-2025723</x:v>
      </x:c>
      <x:c r="B724" s="9" t="n">
        <x:v>45668</x:v>
      </x:c>
      <x:c r="C724" s="8" t="str">
        <x:v>North</x:v>
      </x:c>
      <x:c r="D724" s="8" t="str">
        <x:v>Mason Lee</x:v>
      </x:c>
      <x:c r="E724" s="8" t="str">
        <x:v>Nova Co</x:v>
      </x:c>
      <x:c r="F724" s="8" t="str">
        <x:v>Accessories</x:v>
      </x:c>
      <x:c r="G724" s="8" t="str">
        <x:v>Keyboard Pro</x:v>
      </x:c>
      <x:c r="H724" s="10" t="n">
        <x:v>21</x:v>
      </x:c>
      <x:c r="I724" s="11" t="n">
        <x:v>95</x:v>
      </x:c>
      <x:c r="J724" s="12" t="n">
        <x:v>0</x:v>
      </x:c>
      <x:c r="K724" s="11" t="n">
        <x:f>H724*I724*(1-J724)</x:f>
        <x:v>1995</x:v>
      </x:c>
      <x:c r="L724" s="11" t="n">
        <x:f>H724*(I724*0.62)</x:f>
        <x:v>1236.8999999999999</x:v>
      </x:c>
      <x:c r="M724" s="11" t="n">
        <x:f>K724-L724</x:f>
        <x:v>758.1000000000001</x:v>
      </x:c>
      <x:c r="N724" s="8" t="str">
        <x:v>Direct</x:v>
      </x:c>
      <x:c r="O724" s="8" t="str">
        <x:v>PayPal</x:v>
      </x:c>
      <x:c r="P724" s="8" t="str">
        <x:v>Closed Won</x:v>
      </x:c>
    </x:row>
    <x:row r="725">
      <x:c r="A725" s="8" t="str">
        <x:v>ORD-2025724</x:v>
      </x:c>
      <x:c r="B725" s="9" t="n">
        <x:v>45863</x:v>
      </x:c>
      <x:c r="C725" s="8" t="str">
        <x:v>Central</x:v>
      </x:c>
      <x:c r="D725" s="8" t="str">
        <x:v>Lucas Brown</x:v>
      </x:c>
      <x:c r="E725" s="8" t="str">
        <x:v>Nova LLC</x:v>
      </x:c>
      <x:c r="F725" s="8" t="str">
        <x:v>Hardware</x:v>
      </x:c>
      <x:c r="G725" s="8" t="str">
        <x:v>Laptop X</x:v>
      </x:c>
      <x:c r="H725" s="10" t="n">
        <x:v>9</x:v>
      </x:c>
      <x:c r="I725" s="11" t="n">
        <x:v>1500</x:v>
      </x:c>
      <x:c r="J725" s="12" t="n">
        <x:v>0</x:v>
      </x:c>
      <x:c r="K725" s="11" t="n">
        <x:f>H725*I725*(1-J725)</x:f>
        <x:v>13500</x:v>
      </x:c>
      <x:c r="L725" s="11" t="n">
        <x:f>H725*(I725*0.62)</x:f>
        <x:v>8370</x:v>
      </x:c>
      <x:c r="M725" s="11" t="n">
        <x:f>K725-L725</x:f>
        <x:v>5130</x:v>
      </x:c>
      <x:c r="N725" s="8" t="str">
        <x:v>Direct</x:v>
      </x:c>
      <x:c r="O725" s="8" t="str">
        <x:v>Invoice</x:v>
      </x:c>
      <x:c r="P725" s="8" t="str">
        <x:v>Closed Won</x:v>
      </x:c>
    </x:row>
    <x:row r="726">
      <x:c r="A726" s="8" t="str">
        <x:v>ORD-2025725</x:v>
      </x:c>
      <x:c r="B726" s="9" t="n">
        <x:v>45927</x:v>
      </x:c>
      <x:c r="C726" s="8" t="str">
        <x:v>West</x:v>
      </x:c>
      <x:c r="D726" s="8" t="str">
        <x:v>Olivia Wilson</x:v>
      </x:c>
      <x:c r="E726" s="8" t="str">
        <x:v>NorthStar Group</x:v>
      </x:c>
      <x:c r="F726" s="8" t="str">
        <x:v>Software</x:v>
      </x:c>
      <x:c r="G726" s="8" t="str">
        <x:v>CRM Pro</x:v>
      </x:c>
      <x:c r="H726" s="10" t="n">
        <x:v>4</x:v>
      </x:c>
      <x:c r="I726" s="11" t="n">
        <x:v>1200</x:v>
      </x:c>
      <x:c r="J726" s="12" t="n">
        <x:v>0</x:v>
      </x:c>
      <x:c r="K726" s="11" t="n">
        <x:f>H726*I726*(1-J726)</x:f>
        <x:v>4800</x:v>
      </x:c>
      <x:c r="L726" s="11" t="n">
        <x:f>H726*(I726*0.62)</x:f>
        <x:v>2976</x:v>
      </x:c>
      <x:c r="M726" s="11" t="n">
        <x:f>K726-L726</x:f>
        <x:v>1824</x:v>
      </x:c>
      <x:c r="N726" s="8" t="str">
        <x:v>Online</x:v>
      </x:c>
      <x:c r="O726" s="8" t="str">
        <x:v>Bank Transfer</x:v>
      </x:c>
      <x:c r="P726" s="8" t="str">
        <x:v>Closed Won</x:v>
      </x:c>
    </x:row>
    <x:row r="727">
      <x:c r="A727" s="8" t="str">
        <x:v>ORD-2025726</x:v>
      </x:c>
      <x:c r="B727" s="9" t="n">
        <x:v>45911</x:v>
      </x:c>
      <x:c r="C727" s="8" t="str">
        <x:v>West</x:v>
      </x:c>
      <x:c r="D727" s="8" t="str">
        <x:v>Noah Davis</x:v>
      </x:c>
      <x:c r="E727" s="8" t="str">
        <x:v>RedStone Group</x:v>
      </x:c>
      <x:c r="F727" s="8" t="str">
        <x:v>Services</x:v>
      </x:c>
      <x:c r="G727" s="8" t="str">
        <x:v>Support Plus</x:v>
      </x:c>
      <x:c r="H727" s="10" t="n">
        <x:v>7</x:v>
      </x:c>
      <x:c r="I727" s="11" t="n">
        <x:v>650</x:v>
      </x:c>
      <x:c r="J727" s="12" t="n">
        <x:v>0.1</x:v>
      </x:c>
      <x:c r="K727" s="11" t="n">
        <x:f>H727*I727*(1-J727)</x:f>
        <x:v>4095</x:v>
      </x:c>
      <x:c r="L727" s="11" t="n">
        <x:f>H727*(I727*0.62)</x:f>
        <x:v>2821</x:v>
      </x:c>
      <x:c r="M727" s="11" t="n">
        <x:f>K727-L727</x:f>
        <x:v>1274</x:v>
      </x:c>
      <x:c r="N727" s="8" t="str">
        <x:v>Direct</x:v>
      </x:c>
      <x:c r="O727" s="8" t="str">
        <x:v>Invoice</x:v>
      </x:c>
      <x:c r="P727" s="8" t="str">
        <x:v>Shipped</x:v>
      </x:c>
    </x:row>
    <x:row r="728">
      <x:c r="A728" s="8" t="str">
        <x:v>ORD-2025727</x:v>
      </x:c>
      <x:c r="B728" s="9" t="n">
        <x:v>45750</x:v>
      </x:c>
      <x:c r="C728" s="8" t="str">
        <x:v>West</x:v>
      </x:c>
      <x:c r="D728" s="8" t="str">
        <x:v>Noah Davis</x:v>
      </x:c>
      <x:c r="E728" s="8" t="str">
        <x:v>Acme Group</x:v>
      </x:c>
      <x:c r="F728" s="8" t="str">
        <x:v>Hardware</x:v>
      </x:c>
      <x:c r="G728" s="8" t="str">
        <x:v>Monitor 27</x:v>
      </x:c>
      <x:c r="H728" s="10" t="n">
        <x:v>10</x:v>
      </x:c>
      <x:c r="I728" s="11" t="n">
        <x:v>320</x:v>
      </x:c>
      <x:c r="J728" s="12" t="n">
        <x:v>0</x:v>
      </x:c>
      <x:c r="K728" s="11" t="n">
        <x:f>H728*I728*(1-J728)</x:f>
        <x:v>3200</x:v>
      </x:c>
      <x:c r="L728" s="11" t="n">
        <x:f>H728*(I728*0.62)</x:f>
        <x:v>1984</x:v>
      </x:c>
      <x:c r="M728" s="11" t="n">
        <x:f>K728-L728</x:f>
        <x:v>1216</x:v>
      </x:c>
      <x:c r="N728" s="8" t="str">
        <x:v>Direct</x:v>
      </x:c>
      <x:c r="O728" s="8" t="str">
        <x:v>PayPal</x:v>
      </x:c>
      <x:c r="P728" s="8" t="str">
        <x:v>Cancelled</x:v>
      </x:c>
    </x:row>
    <x:row r="729">
      <x:c r="A729" s="8" t="str">
        <x:v>ORD-2025728</x:v>
      </x:c>
      <x:c r="B729" s="9" t="n">
        <x:v>45701</x:v>
      </x:c>
      <x:c r="C729" s="8" t="str">
        <x:v>North</x:v>
      </x:c>
      <x:c r="D729" s="8" t="str">
        <x:v>Olivia Wilson</x:v>
      </x:c>
      <x:c r="E729" s="8" t="str">
        <x:v>Urban Inc</x:v>
      </x:c>
      <x:c r="F729" s="8" t="str">
        <x:v>Services</x:v>
      </x:c>
      <x:c r="G729" s="8" t="str">
        <x:v>Consulting Day</x:v>
      </x:c>
      <x:c r="H729" s="10" t="n">
        <x:v>11</x:v>
      </x:c>
      <x:c r="I729" s="11" t="n">
        <x:v>1400</x:v>
      </x:c>
      <x:c r="J729" s="12" t="n">
        <x:v>0.15</x:v>
      </x:c>
      <x:c r="K729" s="11" t="n">
        <x:f>H729*I729*(1-J729)</x:f>
        <x:v>13090</x:v>
      </x:c>
      <x:c r="L729" s="11" t="n">
        <x:f>H729*(I729*0.62)</x:f>
        <x:v>9548</x:v>
      </x:c>
      <x:c r="M729" s="11" t="n">
        <x:f>K729-L729</x:f>
        <x:v>3542</x:v>
      </x:c>
      <x:c r="N729" s="8" t="str">
        <x:v>Partner</x:v>
      </x:c>
      <x:c r="O729" s="8" t="str">
        <x:v>Bank Transfer</x:v>
      </x:c>
      <x:c r="P729" s="8" t="str">
        <x:v>Shipped</x:v>
      </x:c>
    </x:row>
    <x:row r="730">
      <x:c r="A730" s="8" t="str">
        <x:v>ORD-2025729</x:v>
      </x:c>
      <x:c r="B730" s="9" t="n">
        <x:v>45695</x:v>
      </x:c>
      <x:c r="C730" s="8" t="str">
        <x:v>North</x:v>
      </x:c>
      <x:c r="D730" s="8" t="str">
        <x:v>Mason Lee</x:v>
      </x:c>
      <x:c r="E730" s="8" t="str">
        <x:v>Summit Group</x:v>
      </x:c>
      <x:c r="F730" s="8" t="str">
        <x:v>Accessories</x:v>
      </x:c>
      <x:c r="G730" s="8" t="str">
        <x:v>Webcam HD</x:v>
      </x:c>
      <x:c r="H730" s="10" t="n">
        <x:v>2</x:v>
      </x:c>
      <x:c r="I730" s="11" t="n">
        <x:v>110</x:v>
      </x:c>
      <x:c r="J730" s="12" t="n">
        <x:v>0</x:v>
      </x:c>
      <x:c r="K730" s="11" t="n">
        <x:f>H730*I730*(1-J730)</x:f>
        <x:v>220</x:v>
      </x:c>
      <x:c r="L730" s="11" t="n">
        <x:f>H730*(I730*0.62)</x:f>
        <x:v>136.4</x:v>
      </x:c>
      <x:c r="M730" s="11" t="n">
        <x:f>K730-L730</x:f>
        <x:v>83.6</x:v>
      </x:c>
      <x:c r="N730" s="8" t="str">
        <x:v>Direct</x:v>
      </x:c>
      <x:c r="O730" s="8" t="str">
        <x:v>PayPal</x:v>
      </x:c>
      <x:c r="P730" s="8" t="str">
        <x:v>Cancelled</x:v>
      </x:c>
    </x:row>
    <x:row r="731">
      <x:c r="A731" s="8" t="str">
        <x:v>ORD-2025730</x:v>
      </x:c>
      <x:c r="B731" s="9" t="n">
        <x:v>45787</x:v>
      </x:c>
      <x:c r="C731" s="8" t="str">
        <x:v>Central</x:v>
      </x:c>
      <x:c r="D731" s="8" t="str">
        <x:v>Emma Martin</x:v>
      </x:c>
      <x:c r="E731" s="8" t="str">
        <x:v>SilverLine LLC</x:v>
      </x:c>
      <x:c r="F731" s="8" t="str">
        <x:v>Software</x:v>
      </x:c>
      <x:c r="G731" s="8" t="str">
        <x:v>CRM Pro</x:v>
      </x:c>
      <x:c r="H731" s="10" t="n">
        <x:v>10</x:v>
      </x:c>
      <x:c r="I731" s="11" t="n">
        <x:v>1200</x:v>
      </x:c>
      <x:c r="J731" s="12" t="n">
        <x:v>0.05</x:v>
      </x:c>
      <x:c r="K731" s="11" t="n">
        <x:f>H731*I731*(1-J731)</x:f>
        <x:v>11400</x:v>
      </x:c>
      <x:c r="L731" s="11" t="n">
        <x:f>H731*(I731*0.62)</x:f>
        <x:v>7440</x:v>
      </x:c>
      <x:c r="M731" s="11" t="n">
        <x:f>K731-L731</x:f>
        <x:v>3960</x:v>
      </x:c>
      <x:c r="N731" s="8" t="str">
        <x:v>Online</x:v>
      </x:c>
      <x:c r="O731" s="8" t="str">
        <x:v>Invoice</x:v>
      </x:c>
      <x:c r="P731" s="8" t="str">
        <x:v>Closed Won</x:v>
      </x:c>
    </x:row>
    <x:row r="732">
      <x:c r="A732" s="8" t="str">
        <x:v>ORD-2025731</x:v>
      </x:c>
      <x:c r="B732" s="9" t="n">
        <x:v>45791</x:v>
      </x:c>
      <x:c r="C732" s="8" t="str">
        <x:v>South</x:v>
      </x:c>
      <x:c r="D732" s="8" t="str">
        <x:v>Mason Lee</x:v>
      </x:c>
      <x:c r="E732" s="8" t="str">
        <x:v>NorthStar Group</x:v>
      </x:c>
      <x:c r="F732" s="8" t="str">
        <x:v>Software</x:v>
      </x:c>
      <x:c r="G732" s="8" t="str">
        <x:v>Analytics Cloud</x:v>
      </x:c>
      <x:c r="H732" s="10" t="n">
        <x:v>11</x:v>
      </x:c>
      <x:c r="I732" s="11" t="n">
        <x:v>1800</x:v>
      </x:c>
      <x:c r="J732" s="12" t="n">
        <x:v>0.05</x:v>
      </x:c>
      <x:c r="K732" s="11" t="n">
        <x:f>H732*I732*(1-J732)</x:f>
        <x:v>18810</x:v>
      </x:c>
      <x:c r="L732" s="11" t="n">
        <x:f>H732*(I732*0.62)</x:f>
        <x:v>12276</x:v>
      </x:c>
      <x:c r="M732" s="11" t="n">
        <x:f>K732-L732</x:f>
        <x:v>6534</x:v>
      </x:c>
      <x:c r="N732" s="8" t="str">
        <x:v>Direct</x:v>
      </x:c>
      <x:c r="O732" s="8" t="str">
        <x:v>Credit Card</x:v>
      </x:c>
      <x:c r="P732" s="8" t="str">
        <x:v>Closed Won</x:v>
      </x:c>
    </x:row>
    <x:row r="733">
      <x:c r="A733" s="8" t="str">
        <x:v>ORD-2025732</x:v>
      </x:c>
      <x:c r="B733" s="9" t="n">
        <x:v>45791</x:v>
      </x:c>
      <x:c r="C733" s="8" t="str">
        <x:v>North</x:v>
      </x:c>
      <x:c r="D733" s="8" t="str">
        <x:v>Sophia Kim</x:v>
      </x:c>
      <x:c r="E733" s="8" t="str">
        <x:v>Summit Inc</x:v>
      </x:c>
      <x:c r="F733" s="8" t="str">
        <x:v>Accessories</x:v>
      </x:c>
      <x:c r="G733" s="8" t="str">
        <x:v>Keyboard Pro</x:v>
      </x:c>
      <x:c r="H733" s="10" t="n">
        <x:v>5</x:v>
      </x:c>
      <x:c r="I733" s="11" t="n">
        <x:v>95</x:v>
      </x:c>
      <x:c r="J733" s="12" t="n">
        <x:v>0.05</x:v>
      </x:c>
      <x:c r="K733" s="11" t="n">
        <x:f>H733*I733*(1-J733)</x:f>
        <x:v>451.25</x:v>
      </x:c>
      <x:c r="L733" s="11" t="n">
        <x:f>H733*(I733*0.62)</x:f>
        <x:v>294.5</x:v>
      </x:c>
      <x:c r="M733" s="11" t="n">
        <x:f>K733-L733</x:f>
        <x:v>156.75</x:v>
      </x:c>
      <x:c r="N733" s="8" t="str">
        <x:v>Partner</x:v>
      </x:c>
      <x:c r="O733" s="8" t="str">
        <x:v>Invoice</x:v>
      </x:c>
      <x:c r="P733" s="8" t="str">
        <x:v>Cancelled</x:v>
      </x:c>
    </x:row>
    <x:row r="734">
      <x:c r="A734" s="8" t="str">
        <x:v>ORD-2025733</x:v>
      </x:c>
      <x:c r="B734" s="9" t="n">
        <x:v>45971</x:v>
      </x:c>
      <x:c r="C734" s="8" t="str">
        <x:v>East</x:v>
      </x:c>
      <x:c r="D734" s="8" t="str">
        <x:v>Mason Lee</x:v>
      </x:c>
      <x:c r="E734" s="8" t="str">
        <x:v>BrightPath LLC</x:v>
      </x:c>
      <x:c r="F734" s="8" t="str">
        <x:v>Services</x:v>
      </x:c>
      <x:c r="G734" s="8" t="str">
        <x:v>Support Plus</x:v>
      </x:c>
      <x:c r="H734" s="10" t="n">
        <x:v>14</x:v>
      </x:c>
      <x:c r="I734" s="11" t="n">
        <x:v>650</x:v>
      </x:c>
      <x:c r="J734" s="12" t="n">
        <x:v>0</x:v>
      </x:c>
      <x:c r="K734" s="11" t="n">
        <x:f>H734*I734*(1-J734)</x:f>
        <x:v>9100</x:v>
      </x:c>
      <x:c r="L734" s="11" t="n">
        <x:f>H734*(I734*0.62)</x:f>
        <x:v>5642</x:v>
      </x:c>
      <x:c r="M734" s="11" t="n">
        <x:f>K734-L734</x:f>
        <x:v>3458</x:v>
      </x:c>
      <x:c r="N734" s="8" t="str">
        <x:v>Partner</x:v>
      </x:c>
      <x:c r="O734" s="8" t="str">
        <x:v>PayPal</x:v>
      </x:c>
      <x:c r="P734" s="8" t="str">
        <x:v>Shipped</x:v>
      </x:c>
    </x:row>
    <x:row r="735">
      <x:c r="A735" s="8" t="str">
        <x:v>ORD-2025734</x:v>
      </x:c>
      <x:c r="B735" s="9" t="n">
        <x:v>45685</x:v>
      </x:c>
      <x:c r="C735" s="8" t="str">
        <x:v>South</x:v>
      </x:c>
      <x:c r="D735" s="8" t="str">
        <x:v>Noah Davis</x:v>
      </x:c>
      <x:c r="E735" s="8" t="str">
        <x:v>Summit Co</x:v>
      </x:c>
      <x:c r="F735" s="8" t="str">
        <x:v>Hardware</x:v>
      </x:c>
      <x:c r="G735" s="8" t="str">
        <x:v>Monitor 27</x:v>
      </x:c>
      <x:c r="H735" s="10" t="n">
        <x:v>8</x:v>
      </x:c>
      <x:c r="I735" s="11" t="n">
        <x:v>320</x:v>
      </x:c>
      <x:c r="J735" s="12" t="n">
        <x:v>0</x:v>
      </x:c>
      <x:c r="K735" s="11" t="n">
        <x:f>H735*I735*(1-J735)</x:f>
        <x:v>2560</x:v>
      </x:c>
      <x:c r="L735" s="11" t="n">
        <x:f>H735*(I735*0.62)</x:f>
        <x:v>1587.2</x:v>
      </x:c>
      <x:c r="M735" s="11" t="n">
        <x:f>K735-L735</x:f>
        <x:v>972.8</x:v>
      </x:c>
      <x:c r="N735" s="8" t="str">
        <x:v>Direct</x:v>
      </x:c>
      <x:c r="O735" s="8" t="str">
        <x:v>PayPal</x:v>
      </x:c>
      <x:c r="P735" s="8" t="str">
        <x:v>Closed Won</x:v>
      </x:c>
    </x:row>
    <x:row r="736">
      <x:c r="A736" s="8" t="str">
        <x:v>ORD-2025735</x:v>
      </x:c>
      <x:c r="B736" s="9" t="n">
        <x:v>45717</x:v>
      </x:c>
      <x:c r="C736" s="8" t="str">
        <x:v>West</x:v>
      </x:c>
      <x:c r="D736" s="8" t="str">
        <x:v>Ava Patel</x:v>
      </x:c>
      <x:c r="E736" s="8" t="str">
        <x:v>GoldenGate LLC</x:v>
      </x:c>
      <x:c r="F736" s="8" t="str">
        <x:v>Accessories</x:v>
      </x:c>
      <x:c r="G736" s="8" t="str">
        <x:v>Headset</x:v>
      </x:c>
      <x:c r="H736" s="10" t="n">
        <x:v>12</x:v>
      </x:c>
      <x:c r="I736" s="11" t="n">
        <x:v>85</x:v>
      </x:c>
      <x:c r="J736" s="12" t="n">
        <x:v>0.15</x:v>
      </x:c>
      <x:c r="K736" s="11" t="n">
        <x:f>H736*I736*(1-J736)</x:f>
        <x:v>867</x:v>
      </x:c>
      <x:c r="L736" s="11" t="n">
        <x:f>H736*(I736*0.62)</x:f>
        <x:v>632.4000000000001</x:v>
      </x:c>
      <x:c r="M736" s="11" t="n">
        <x:f>K736-L736</x:f>
        <x:v>234.5999999999999</x:v>
      </x:c>
      <x:c r="N736" s="8" t="str">
        <x:v>Online</x:v>
      </x:c>
      <x:c r="O736" s="8" t="str">
        <x:v>PayPal</x:v>
      </x:c>
      <x:c r="P736" s="8" t="str">
        <x:v>Pending</x:v>
      </x:c>
    </x:row>
    <x:row r="737">
      <x:c r="A737" s="8" t="str">
        <x:v>ORD-2025736</x:v>
      </x:c>
      <x:c r="B737" s="9" t="n">
        <x:v>45721</x:v>
      </x:c>
      <x:c r="C737" s="8" t="str">
        <x:v>East</x:v>
      </x:c>
      <x:c r="D737" s="8" t="str">
        <x:v>Liam Chen</x:v>
      </x:c>
      <x:c r="E737" s="8" t="str">
        <x:v>Nexus Co</x:v>
      </x:c>
      <x:c r="F737" s="8" t="str">
        <x:v>Software</x:v>
      </x:c>
      <x:c r="G737" s="8" t="str">
        <x:v>Analytics Cloud</x:v>
      </x:c>
      <x:c r="H737" s="10" t="n">
        <x:v>10</x:v>
      </x:c>
      <x:c r="I737" s="11" t="n">
        <x:v>1800</x:v>
      </x:c>
      <x:c r="J737" s="12" t="n">
        <x:v>0</x:v>
      </x:c>
      <x:c r="K737" s="11" t="n">
        <x:f>H737*I737*(1-J737)</x:f>
        <x:v>18000</x:v>
      </x:c>
      <x:c r="L737" s="11" t="n">
        <x:f>H737*(I737*0.62)</x:f>
        <x:v>11160</x:v>
      </x:c>
      <x:c r="M737" s="11" t="n">
        <x:f>K737-L737</x:f>
        <x:v>6840</x:v>
      </x:c>
      <x:c r="N737" s="8" t="str">
        <x:v>Direct</x:v>
      </x:c>
      <x:c r="O737" s="8" t="str">
        <x:v>Invoice</x:v>
      </x:c>
      <x:c r="P737" s="8" t="str">
        <x:v>Shipped</x:v>
      </x:c>
    </x:row>
    <x:row r="738">
      <x:c r="A738" s="8" t="str">
        <x:v>ORD-2025737</x:v>
      </x:c>
      <x:c r="B738" s="9" t="n">
        <x:v>45927</x:v>
      </x:c>
      <x:c r="C738" s="8" t="str">
        <x:v>Central</x:v>
      </x:c>
      <x:c r="D738" s="8" t="str">
        <x:v>Noah Davis</x:v>
      </x:c>
      <x:c r="E738" s="8" t="str">
        <x:v>RedStone Inc</x:v>
      </x:c>
      <x:c r="F738" s="8" t="str">
        <x:v>Hardware</x:v>
      </x:c>
      <x:c r="G738" s="8" t="str">
        <x:v>Laptop X</x:v>
      </x:c>
      <x:c r="H738" s="10" t="n">
        <x:v>3</x:v>
      </x:c>
      <x:c r="I738" s="11" t="n">
        <x:v>1500</x:v>
      </x:c>
      <x:c r="J738" s="12" t="n">
        <x:v>0</x:v>
      </x:c>
      <x:c r="K738" s="11" t="n">
        <x:f>H738*I738*(1-J738)</x:f>
        <x:v>4500</x:v>
      </x:c>
      <x:c r="L738" s="11" t="n">
        <x:f>H738*(I738*0.62)</x:f>
        <x:v>2790</x:v>
      </x:c>
      <x:c r="M738" s="11" t="n">
        <x:f>K738-L738</x:f>
        <x:v>1710</x:v>
      </x:c>
      <x:c r="N738" s="8" t="str">
        <x:v>Partner</x:v>
      </x:c>
      <x:c r="O738" s="8" t="str">
        <x:v>Credit Card</x:v>
      </x:c>
      <x:c r="P738" s="8" t="str">
        <x:v>Cancelled</x:v>
      </x:c>
    </x:row>
    <x:row r="739">
      <x:c r="A739" s="8" t="str">
        <x:v>ORD-2025738</x:v>
      </x:c>
      <x:c r="B739" s="9" t="n">
        <x:v>46006</x:v>
      </x:c>
      <x:c r="C739" s="8" t="str">
        <x:v>North</x:v>
      </x:c>
      <x:c r="D739" s="8" t="str">
        <x:v>Lucas Brown</x:v>
      </x:c>
      <x:c r="E739" s="8" t="str">
        <x:v>Harbor Group</x:v>
      </x:c>
      <x:c r="F739" s="8" t="str">
        <x:v>Software</x:v>
      </x:c>
      <x:c r="G739" s="8" t="str">
        <x:v>HR Suite</x:v>
      </x:c>
      <x:c r="H739" s="10" t="n">
        <x:v>19</x:v>
      </x:c>
      <x:c r="I739" s="11" t="n">
        <x:v>950</x:v>
      </x:c>
      <x:c r="J739" s="12" t="n">
        <x:v>0</x:v>
      </x:c>
      <x:c r="K739" s="11" t="n">
        <x:f>H739*I739*(1-J739)</x:f>
        <x:v>18050</x:v>
      </x:c>
      <x:c r="L739" s="11" t="n">
        <x:f>H739*(I739*0.62)</x:f>
        <x:v>11191</x:v>
      </x:c>
      <x:c r="M739" s="11" t="n">
        <x:f>K739-L739</x:f>
        <x:v>6859</x:v>
      </x:c>
      <x:c r="N739" s="8" t="str">
        <x:v>Partner</x:v>
      </x:c>
      <x:c r="O739" s="8" t="str">
        <x:v>Bank Transfer</x:v>
      </x:c>
      <x:c r="P739" s="8" t="str">
        <x:v>Closed Won</x:v>
      </x:c>
    </x:row>
    <x:row r="740">
      <x:c r="A740" s="8" t="str">
        <x:v>ORD-2025739</x:v>
      </x:c>
      <x:c r="B740" s="9" t="n">
        <x:v>45890</x:v>
      </x:c>
      <x:c r="C740" s="8" t="str">
        <x:v>East</x:v>
      </x:c>
      <x:c r="D740" s="8" t="str">
        <x:v>Emma Martin</x:v>
      </x:c>
      <x:c r="E740" s="8" t="str">
        <x:v>Acme LLC</x:v>
      </x:c>
      <x:c r="F740" s="8" t="str">
        <x:v>Accessories</x:v>
      </x:c>
      <x:c r="G740" s="8" t="str">
        <x:v>Headset</x:v>
      </x:c>
      <x:c r="H740" s="10" t="n">
        <x:v>11</x:v>
      </x:c>
      <x:c r="I740" s="11" t="n">
        <x:v>85</x:v>
      </x:c>
      <x:c r="J740" s="12" t="n">
        <x:v>0</x:v>
      </x:c>
      <x:c r="K740" s="11" t="n">
        <x:f>H740*I740*(1-J740)</x:f>
        <x:v>935</x:v>
      </x:c>
      <x:c r="L740" s="11" t="n">
        <x:f>H740*(I740*0.62)</x:f>
        <x:v>579.7</x:v>
      </x:c>
      <x:c r="M740" s="11" t="n">
        <x:f>K740-L740</x:f>
        <x:v>355.29999999999995</x:v>
      </x:c>
      <x:c r="N740" s="8" t="str">
        <x:v>Online</x:v>
      </x:c>
      <x:c r="O740" s="8" t="str">
        <x:v>PayPal</x:v>
      </x:c>
      <x:c r="P740" s="8" t="str">
        <x:v>Closed Won</x:v>
      </x:c>
    </x:row>
    <x:row r="741">
      <x:c r="A741" s="8" t="str">
        <x:v>ORD-2025740</x:v>
      </x:c>
      <x:c r="B741" s="9" t="n">
        <x:v>45682</x:v>
      </x:c>
      <x:c r="C741" s="8" t="str">
        <x:v>East</x:v>
      </x:c>
      <x:c r="D741" s="8" t="str">
        <x:v>Sophia Kim</x:v>
      </x:c>
      <x:c r="E741" s="8" t="str">
        <x:v>Summit Group</x:v>
      </x:c>
      <x:c r="F741" s="8" t="str">
        <x:v>Hardware</x:v>
      </x:c>
      <x:c r="G741" s="8" t="str">
        <x:v>Tablet Air</x:v>
      </x:c>
      <x:c r="H741" s="10" t="n">
        <x:v>24</x:v>
      </x:c>
      <x:c r="I741" s="11" t="n">
        <x:v>820</x:v>
      </x:c>
      <x:c r="J741" s="12" t="n">
        <x:v>0</x:v>
      </x:c>
      <x:c r="K741" s="11" t="n">
        <x:f>H741*I741*(1-J741)</x:f>
        <x:v>19680</x:v>
      </x:c>
      <x:c r="L741" s="11" t="n">
        <x:f>H741*(I741*0.62)</x:f>
        <x:v>12201.599999999999</x:v>
      </x:c>
      <x:c r="M741" s="11" t="n">
        <x:f>K741-L741</x:f>
        <x:v>7478.4000000000015</x:v>
      </x:c>
      <x:c r="N741" s="8" t="str">
        <x:v>Online</x:v>
      </x:c>
      <x:c r="O741" s="8" t="str">
        <x:v>PayPal</x:v>
      </x:c>
      <x:c r="P741" s="8" t="str">
        <x:v>Closed Won</x:v>
      </x:c>
    </x:row>
    <x:row r="742">
      <x:c r="A742" s="8" t="str">
        <x:v>ORD-2025741</x:v>
      </x:c>
      <x:c r="B742" s="9" t="n">
        <x:v>45780</x:v>
      </x:c>
      <x:c r="C742" s="8" t="str">
        <x:v>West</x:v>
      </x:c>
      <x:c r="D742" s="8" t="str">
        <x:v>Liam Chen</x:v>
      </x:c>
      <x:c r="E742" s="8" t="str">
        <x:v>Acme Co</x:v>
      </x:c>
      <x:c r="F742" s="8" t="str">
        <x:v>Services</x:v>
      </x:c>
      <x:c r="G742" s="8" t="str">
        <x:v>Training</x:v>
      </x:c>
      <x:c r="H742" s="10" t="n">
        <x:v>7</x:v>
      </x:c>
      <x:c r="I742" s="11" t="n">
        <x:v>900</x:v>
      </x:c>
      <x:c r="J742" s="12" t="n">
        <x:v>0</x:v>
      </x:c>
      <x:c r="K742" s="11" t="n">
        <x:f>H742*I742*(1-J742)</x:f>
        <x:v>6300</x:v>
      </x:c>
      <x:c r="L742" s="11" t="n">
        <x:f>H742*(I742*0.62)</x:f>
        <x:v>3906</x:v>
      </x:c>
      <x:c r="M742" s="11" t="n">
        <x:f>K742-L742</x:f>
        <x:v>2394</x:v>
      </x:c>
      <x:c r="N742" s="8" t="str">
        <x:v>Partner</x:v>
      </x:c>
      <x:c r="O742" s="8" t="str">
        <x:v>PayPal</x:v>
      </x:c>
      <x:c r="P742" s="8" t="str">
        <x:v>Closed Won</x:v>
      </x:c>
    </x:row>
    <x:row r="743">
      <x:c r="A743" s="8" t="str">
        <x:v>ORD-2025742</x:v>
      </x:c>
      <x:c r="B743" s="9" t="n">
        <x:v>45810</x:v>
      </x:c>
      <x:c r="C743" s="8" t="str">
        <x:v>West</x:v>
      </x:c>
      <x:c r="D743" s="8" t="str">
        <x:v>Lucas Brown</x:v>
      </x:c>
      <x:c r="E743" s="8" t="str">
        <x:v>Vertex Group</x:v>
      </x:c>
      <x:c r="F743" s="8" t="str">
        <x:v>Hardware</x:v>
      </x:c>
      <x:c r="G743" s="8" t="str">
        <x:v>Laptop X</x:v>
      </x:c>
      <x:c r="H743" s="10" t="n">
        <x:v>22</x:v>
      </x:c>
      <x:c r="I743" s="11" t="n">
        <x:v>1500</x:v>
      </x:c>
      <x:c r="J743" s="12" t="n">
        <x:v>0.1</x:v>
      </x:c>
      <x:c r="K743" s="11" t="n">
        <x:f>H743*I743*(1-J743)</x:f>
        <x:v>29700</x:v>
      </x:c>
      <x:c r="L743" s="11" t="n">
        <x:f>H743*(I743*0.62)</x:f>
        <x:v>20460</x:v>
      </x:c>
      <x:c r="M743" s="11" t="n">
        <x:f>K743-L743</x:f>
        <x:v>9240</x:v>
      </x:c>
      <x:c r="N743" s="8" t="str">
        <x:v>Direct</x:v>
      </x:c>
      <x:c r="O743" s="8" t="str">
        <x:v>Invoice</x:v>
      </x:c>
      <x:c r="P743" s="8" t="str">
        <x:v>Shipped</x:v>
      </x:c>
    </x:row>
    <x:row r="744">
      <x:c r="A744" s="8" t="str">
        <x:v>ORD-2025743</x:v>
      </x:c>
      <x:c r="B744" s="9" t="n">
        <x:v>45908</x:v>
      </x:c>
      <x:c r="C744" s="8" t="str">
        <x:v>West</x:v>
      </x:c>
      <x:c r="D744" s="8" t="str">
        <x:v>Lucas Brown</x:v>
      </x:c>
      <x:c r="E744" s="8" t="str">
        <x:v>NorthStar LLC</x:v>
      </x:c>
      <x:c r="F744" s="8" t="str">
        <x:v>Services</x:v>
      </x:c>
      <x:c r="G744" s="8" t="str">
        <x:v>Training</x:v>
      </x:c>
      <x:c r="H744" s="10" t="n">
        <x:v>9</x:v>
      </x:c>
      <x:c r="I744" s="11" t="n">
        <x:v>900</x:v>
      </x:c>
      <x:c r="J744" s="12" t="n">
        <x:v>0.1</x:v>
      </x:c>
      <x:c r="K744" s="11" t="n">
        <x:f>H744*I744*(1-J744)</x:f>
        <x:v>7290</x:v>
      </x:c>
      <x:c r="L744" s="11" t="n">
        <x:f>H744*(I744*0.62)</x:f>
        <x:v>5022</x:v>
      </x:c>
      <x:c r="M744" s="11" t="n">
        <x:f>K744-L744</x:f>
        <x:v>2268</x:v>
      </x:c>
      <x:c r="N744" s="8" t="str">
        <x:v>Online</x:v>
      </x:c>
      <x:c r="O744" s="8" t="str">
        <x:v>PayPal</x:v>
      </x:c>
      <x:c r="P744" s="8" t="str">
        <x:v>Closed Won</x:v>
      </x:c>
    </x:row>
    <x:row r="745">
      <x:c r="A745" s="8" t="str">
        <x:v>ORD-2025744</x:v>
      </x:c>
      <x:c r="B745" s="9" t="n">
        <x:v>45972</x:v>
      </x:c>
      <x:c r="C745" s="8" t="str">
        <x:v>South</x:v>
      </x:c>
      <x:c r="D745" s="8" t="str">
        <x:v>Lucas Brown</x:v>
      </x:c>
      <x:c r="E745" s="8" t="str">
        <x:v>RedStone Co</x:v>
      </x:c>
      <x:c r="F745" s="8" t="str">
        <x:v>Accessories</x:v>
      </x:c>
      <x:c r="G745" s="8" t="str">
        <x:v>Webcam HD</x:v>
      </x:c>
      <x:c r="H745" s="10" t="n">
        <x:v>3</x:v>
      </x:c>
      <x:c r="I745" s="11" t="n">
        <x:v>110</x:v>
      </x:c>
      <x:c r="J745" s="12" t="n">
        <x:v>0</x:v>
      </x:c>
      <x:c r="K745" s="11" t="n">
        <x:f>H745*I745*(1-J745)</x:f>
        <x:v>330</x:v>
      </x:c>
      <x:c r="L745" s="11" t="n">
        <x:f>H745*(I745*0.62)</x:f>
        <x:v>204.60000000000002</x:v>
      </x:c>
      <x:c r="M745" s="11" t="n">
        <x:f>K745-L745</x:f>
        <x:v>125.39999999999998</x:v>
      </x:c>
      <x:c r="N745" s="8" t="str">
        <x:v>Online</x:v>
      </x:c>
      <x:c r="O745" s="8" t="str">
        <x:v>Invoice</x:v>
      </x:c>
      <x:c r="P745" s="8" t="str">
        <x:v>Cancelled</x:v>
      </x:c>
    </x:row>
    <x:row r="746">
      <x:c r="A746" s="8" t="str">
        <x:v>ORD-2025745</x:v>
      </x:c>
      <x:c r="B746" s="9" t="n">
        <x:v>45911</x:v>
      </x:c>
      <x:c r="C746" s="8" t="str">
        <x:v>Central</x:v>
      </x:c>
      <x:c r="D746" s="8" t="str">
        <x:v>Mason Lee</x:v>
      </x:c>
      <x:c r="E746" s="8" t="str">
        <x:v>BlueSky Co</x:v>
      </x:c>
      <x:c r="F746" s="8" t="str">
        <x:v>Hardware</x:v>
      </x:c>
      <x:c r="G746" s="8" t="str">
        <x:v>Tablet Air</x:v>
      </x:c>
      <x:c r="H746" s="10" t="n">
        <x:v>10</x:v>
      </x:c>
      <x:c r="I746" s="11" t="n">
        <x:v>820</x:v>
      </x:c>
      <x:c r="J746" s="12" t="n">
        <x:v>0.05</x:v>
      </x:c>
      <x:c r="K746" s="11" t="n">
        <x:f>H746*I746*(1-J746)</x:f>
        <x:v>7790</x:v>
      </x:c>
      <x:c r="L746" s="11" t="n">
        <x:f>H746*(I746*0.62)</x:f>
        <x:v>5084</x:v>
      </x:c>
      <x:c r="M746" s="11" t="n">
        <x:f>K746-L746</x:f>
        <x:v>2706</x:v>
      </x:c>
      <x:c r="N746" s="8" t="str">
        <x:v>Partner</x:v>
      </x:c>
      <x:c r="O746" s="8" t="str">
        <x:v>Credit Card</x:v>
      </x:c>
      <x:c r="P746" s="8" t="str">
        <x:v>Cancelled</x:v>
      </x:c>
    </x:row>
    <x:row r="747">
      <x:c r="A747" s="8" t="str">
        <x:v>ORD-2025746</x:v>
      </x:c>
      <x:c r="B747" s="9" t="n">
        <x:v>45734</x:v>
      </x:c>
      <x:c r="C747" s="8" t="str">
        <x:v>South</x:v>
      </x:c>
      <x:c r="D747" s="8" t="str">
        <x:v>Ethan Garcia</x:v>
      </x:c>
      <x:c r="E747" s="8" t="str">
        <x:v>Cedar Group</x:v>
      </x:c>
      <x:c r="F747" s="8" t="str">
        <x:v>Accessories</x:v>
      </x:c>
      <x:c r="G747" s="8" t="str">
        <x:v>Webcam HD</x:v>
      </x:c>
      <x:c r="H747" s="10" t="n">
        <x:v>17</x:v>
      </x:c>
      <x:c r="I747" s="11" t="n">
        <x:v>110</x:v>
      </x:c>
      <x:c r="J747" s="12" t="n">
        <x:v>0.05</x:v>
      </x:c>
      <x:c r="K747" s="11" t="n">
        <x:f>H747*I747*(1-J747)</x:f>
        <x:v>1776.5</x:v>
      </x:c>
      <x:c r="L747" s="11" t="n">
        <x:f>H747*(I747*0.62)</x:f>
        <x:v>1159.4</x:v>
      </x:c>
      <x:c r="M747" s="11" t="n">
        <x:f>K747-L747</x:f>
        <x:v>617.0999999999999</x:v>
      </x:c>
      <x:c r="N747" s="8" t="str">
        <x:v>Partner</x:v>
      </x:c>
      <x:c r="O747" s="8" t="str">
        <x:v>Credit Card</x:v>
      </x:c>
      <x:c r="P747" s="8" t="str">
        <x:v>Shipped</x:v>
      </x:c>
    </x:row>
    <x:row r="748">
      <x:c r="A748" s="8" t="str">
        <x:v>ORD-2025747</x:v>
      </x:c>
      <x:c r="B748" s="9" t="n">
        <x:v>45919</x:v>
      </x:c>
      <x:c r="C748" s="8" t="str">
        <x:v>West</x:v>
      </x:c>
      <x:c r="D748" s="8" t="str">
        <x:v>Lucas Brown</x:v>
      </x:c>
      <x:c r="E748" s="8" t="str">
        <x:v>Pioneer LLC</x:v>
      </x:c>
      <x:c r="F748" s="8" t="str">
        <x:v>Software</x:v>
      </x:c>
      <x:c r="G748" s="8" t="str">
        <x:v>CRM Pro</x:v>
      </x:c>
      <x:c r="H748" s="10" t="n">
        <x:v>15</x:v>
      </x:c>
      <x:c r="I748" s="11" t="n">
        <x:v>1200</x:v>
      </x:c>
      <x:c r="J748" s="12" t="n">
        <x:v>0.15</x:v>
      </x:c>
      <x:c r="K748" s="11" t="n">
        <x:f>H748*I748*(1-J748)</x:f>
        <x:v>15300</x:v>
      </x:c>
      <x:c r="L748" s="11" t="n">
        <x:f>H748*(I748*0.62)</x:f>
        <x:v>11160</x:v>
      </x:c>
      <x:c r="M748" s="11" t="n">
        <x:f>K748-L748</x:f>
        <x:v>4140</x:v>
      </x:c>
      <x:c r="N748" s="8" t="str">
        <x:v>Online</x:v>
      </x:c>
      <x:c r="O748" s="8" t="str">
        <x:v>Invoice</x:v>
      </x:c>
      <x:c r="P748" s="8" t="str">
        <x:v>Closed Won</x:v>
      </x:c>
    </x:row>
    <x:row r="749">
      <x:c r="A749" s="8" t="str">
        <x:v>ORD-2025748</x:v>
      </x:c>
      <x:c r="B749" s="9" t="n">
        <x:v>45716</x:v>
      </x:c>
      <x:c r="C749" s="8" t="str">
        <x:v>West</x:v>
      </x:c>
      <x:c r="D749" s="8" t="str">
        <x:v>Noah Davis</x:v>
      </x:c>
      <x:c r="E749" s="8" t="str">
        <x:v>GreenLeaf Group</x:v>
      </x:c>
      <x:c r="F749" s="8" t="str">
        <x:v>Software</x:v>
      </x:c>
      <x:c r="G749" s="8" t="str">
        <x:v>CRM Pro</x:v>
      </x:c>
      <x:c r="H749" s="10" t="n">
        <x:v>13</x:v>
      </x:c>
      <x:c r="I749" s="11" t="n">
        <x:v>1200</x:v>
      </x:c>
      <x:c r="J749" s="12" t="n">
        <x:v>0</x:v>
      </x:c>
      <x:c r="K749" s="11" t="n">
        <x:f>H749*I749*(1-J749)</x:f>
        <x:v>15600</x:v>
      </x:c>
      <x:c r="L749" s="11" t="n">
        <x:f>H749*(I749*0.62)</x:f>
        <x:v>9672</x:v>
      </x:c>
      <x:c r="M749" s="11" t="n">
        <x:f>K749-L749</x:f>
        <x:v>5928</x:v>
      </x:c>
      <x:c r="N749" s="8" t="str">
        <x:v>Direct</x:v>
      </x:c>
      <x:c r="O749" s="8" t="str">
        <x:v>PayPal</x:v>
      </x:c>
      <x:c r="P749" s="8" t="str">
        <x:v>Returned</x:v>
      </x:c>
    </x:row>
    <x:row r="750">
      <x:c r="A750" s="8" t="str">
        <x:v>ORD-2025749</x:v>
      </x:c>
      <x:c r="B750" s="9" t="n">
        <x:v>45958</x:v>
      </x:c>
      <x:c r="C750" s="8" t="str">
        <x:v>West</x:v>
      </x:c>
      <x:c r="D750" s="8" t="str">
        <x:v>Olivia Wilson</x:v>
      </x:c>
      <x:c r="E750" s="8" t="str">
        <x:v>Nova Group</x:v>
      </x:c>
      <x:c r="F750" s="8" t="str">
        <x:v>Services</x:v>
      </x:c>
      <x:c r="G750" s="8" t="str">
        <x:v>Support Plus</x:v>
      </x:c>
      <x:c r="H750" s="10" t="n">
        <x:v>9</x:v>
      </x:c>
      <x:c r="I750" s="11" t="n">
        <x:v>650</x:v>
      </x:c>
      <x:c r="J750" s="12" t="n">
        <x:v>0</x:v>
      </x:c>
      <x:c r="K750" s="11" t="n">
        <x:f>H750*I750*(1-J750)</x:f>
        <x:v>5850</x:v>
      </x:c>
      <x:c r="L750" s="11" t="n">
        <x:f>H750*(I750*0.62)</x:f>
        <x:v>3627</x:v>
      </x:c>
      <x:c r="M750" s="11" t="n">
        <x:f>K750-L750</x:f>
        <x:v>2223</x:v>
      </x:c>
      <x:c r="N750" s="8" t="str">
        <x:v>Direct</x:v>
      </x:c>
      <x:c r="O750" s="8" t="str">
        <x:v>Bank Transfer</x:v>
      </x:c>
      <x:c r="P750" s="8" t="str">
        <x:v>Closed Won</x:v>
      </x:c>
    </x:row>
    <x:row r="751">
      <x:c r="A751" s="8" t="str">
        <x:v>ORD-2025750</x:v>
      </x:c>
      <x:c r="B751" s="9" t="n">
        <x:v>45880</x:v>
      </x:c>
      <x:c r="C751" s="8" t="str">
        <x:v>Central</x:v>
      </x:c>
      <x:c r="D751" s="8" t="str">
        <x:v>Ava Patel</x:v>
      </x:c>
      <x:c r="E751" s="8" t="str">
        <x:v>Acme LLC</x:v>
      </x:c>
      <x:c r="F751" s="8" t="str">
        <x:v>Services</x:v>
      </x:c>
      <x:c r="G751" s="8" t="str">
        <x:v>Implementation</x:v>
      </x:c>
      <x:c r="H751" s="10" t="n">
        <x:v>13</x:v>
      </x:c>
      <x:c r="I751" s="11" t="n">
        <x:v>2500</x:v>
      </x:c>
      <x:c r="J751" s="12" t="n">
        <x:v>0</x:v>
      </x:c>
      <x:c r="K751" s="11" t="n">
        <x:f>H751*I751*(1-J751)</x:f>
        <x:v>32500</x:v>
      </x:c>
      <x:c r="L751" s="11" t="n">
        <x:f>H751*(I751*0.62)</x:f>
        <x:v>20150</x:v>
      </x:c>
      <x:c r="M751" s="11" t="n">
        <x:f>K751-L751</x:f>
        <x:v>12350</x:v>
      </x:c>
      <x:c r="N751" s="8" t="str">
        <x:v>Direct</x:v>
      </x:c>
      <x:c r="O751" s="8" t="str">
        <x:v>Bank Transfer</x:v>
      </x:c>
      <x:c r="P751" s="8" t="str">
        <x:v>Shipped</x:v>
      </x:c>
    </x:row>
    <x:row r="752">
      <x:c r="A752" s="8" t="str">
        <x:v>ORD-2025751</x:v>
      </x:c>
      <x:c r="B752" s="9" t="n">
        <x:v>45994</x:v>
      </x:c>
      <x:c r="C752" s="8" t="str">
        <x:v>Central</x:v>
      </x:c>
      <x:c r="D752" s="8" t="str">
        <x:v>Olivia Wilson</x:v>
      </x:c>
      <x:c r="E752" s="8" t="str">
        <x:v>Vertex Co</x:v>
      </x:c>
      <x:c r="F752" s="8" t="str">
        <x:v>Accessories</x:v>
      </x:c>
      <x:c r="G752" s="8" t="str">
        <x:v>Headset</x:v>
      </x:c>
      <x:c r="H752" s="10" t="n">
        <x:v>20</x:v>
      </x:c>
      <x:c r="I752" s="11" t="n">
        <x:v>85</x:v>
      </x:c>
      <x:c r="J752" s="12" t="n">
        <x:v>0.2</x:v>
      </x:c>
      <x:c r="K752" s="11" t="n">
        <x:f>H752*I752*(1-J752)</x:f>
        <x:v>1360</x:v>
      </x:c>
      <x:c r="L752" s="11" t="n">
        <x:f>H752*(I752*0.62)</x:f>
        <x:v>1054</x:v>
      </x:c>
      <x:c r="M752" s="11" t="n">
        <x:f>K752-L752</x:f>
        <x:v>306</x:v>
      </x:c>
      <x:c r="N752" s="8" t="str">
        <x:v>Online</x:v>
      </x:c>
      <x:c r="O752" s="8" t="str">
        <x:v>Invoice</x:v>
      </x:c>
      <x:c r="P752" s="8" t="str">
        <x:v>Shipped</x:v>
      </x:c>
    </x:row>
    <x:row r="753">
      <x:c r="A753" s="8" t="str">
        <x:v>ORD-2025752</x:v>
      </x:c>
      <x:c r="B753" s="9" t="n">
        <x:v>45702</x:v>
      </x:c>
      <x:c r="C753" s="8" t="str">
        <x:v>South</x:v>
      </x:c>
      <x:c r="D753" s="8" t="str">
        <x:v>Noah Davis</x:v>
      </x:c>
      <x:c r="E753" s="8" t="str">
        <x:v>Acme Inc</x:v>
      </x:c>
      <x:c r="F753" s="8" t="str">
        <x:v>Accessories</x:v>
      </x:c>
      <x:c r="G753" s="8" t="str">
        <x:v>Webcam HD</x:v>
      </x:c>
      <x:c r="H753" s="10" t="n">
        <x:v>7</x:v>
      </x:c>
      <x:c r="I753" s="11" t="n">
        <x:v>110</x:v>
      </x:c>
      <x:c r="J753" s="12" t="n">
        <x:v>0</x:v>
      </x:c>
      <x:c r="K753" s="11" t="n">
        <x:f>H753*I753*(1-J753)</x:f>
        <x:v>770</x:v>
      </x:c>
      <x:c r="L753" s="11" t="n">
        <x:f>H753*(I753*0.62)</x:f>
        <x:v>477.40000000000003</x:v>
      </x:c>
      <x:c r="M753" s="11" t="n">
        <x:f>K753-L753</x:f>
        <x:v>292.59999999999997</x:v>
      </x:c>
      <x:c r="N753" s="8" t="str">
        <x:v>Direct</x:v>
      </x:c>
      <x:c r="O753" s="8" t="str">
        <x:v>Bank Transfer</x:v>
      </x:c>
      <x:c r="P753" s="8" t="str">
        <x:v>Returned</x:v>
      </x:c>
    </x:row>
    <x:row r="754">
      <x:c r="A754" s="8" t="str">
        <x:v>ORD-2025753</x:v>
      </x:c>
      <x:c r="B754" s="9" t="n">
        <x:v>45990</x:v>
      </x:c>
      <x:c r="C754" s="8" t="str">
        <x:v>South</x:v>
      </x:c>
      <x:c r="D754" s="8" t="str">
        <x:v>Mia Johnson</x:v>
      </x:c>
      <x:c r="E754" s="8" t="str">
        <x:v>RedStone Group</x:v>
      </x:c>
      <x:c r="F754" s="8" t="str">
        <x:v>Hardware</x:v>
      </x:c>
      <x:c r="G754" s="8" t="str">
        <x:v>Monitor 27</x:v>
      </x:c>
      <x:c r="H754" s="10" t="n">
        <x:v>21</x:v>
      </x:c>
      <x:c r="I754" s="11" t="n">
        <x:v>320</x:v>
      </x:c>
      <x:c r="J754" s="12" t="n">
        <x:v>0.2</x:v>
      </x:c>
      <x:c r="K754" s="11" t="n">
        <x:f>H754*I754*(1-J754)</x:f>
        <x:v>5376</x:v>
      </x:c>
      <x:c r="L754" s="11" t="n">
        <x:f>H754*(I754*0.62)</x:f>
        <x:v>4166.400000000001</x:v>
      </x:c>
      <x:c r="M754" s="11" t="n">
        <x:f>K754-L754</x:f>
        <x:v>1209.5999999999995</x:v>
      </x:c>
      <x:c r="N754" s="8" t="str">
        <x:v>Online</x:v>
      </x:c>
      <x:c r="O754" s="8" t="str">
        <x:v>Bank Transfer</x:v>
      </x:c>
      <x:c r="P754" s="8" t="str">
        <x:v>Closed Won</x:v>
      </x:c>
    </x:row>
    <x:row r="755">
      <x:c r="A755" s="8" t="str">
        <x:v>ORD-2025754</x:v>
      </x:c>
      <x:c r="B755" s="9" t="n">
        <x:v>45900</x:v>
      </x:c>
      <x:c r="C755" s="8" t="str">
        <x:v>West</x:v>
      </x:c>
      <x:c r="D755" s="8" t="str">
        <x:v>Ava Patel</x:v>
      </x:c>
      <x:c r="E755" s="8" t="str">
        <x:v>Pioneer Co</x:v>
      </x:c>
      <x:c r="F755" s="8" t="str">
        <x:v>Accessories</x:v>
      </x:c>
      <x:c r="G755" s="8" t="str">
        <x:v>Keyboard Pro</x:v>
      </x:c>
      <x:c r="H755" s="10" t="n">
        <x:v>6</x:v>
      </x:c>
      <x:c r="I755" s="11" t="n">
        <x:v>95</x:v>
      </x:c>
      <x:c r="J755" s="12" t="n">
        <x:v>0</x:v>
      </x:c>
      <x:c r="K755" s="11" t="n">
        <x:f>H755*I755*(1-J755)</x:f>
        <x:v>570</x:v>
      </x:c>
      <x:c r="L755" s="11" t="n">
        <x:f>H755*(I755*0.62)</x:f>
        <x:v>353.4</x:v>
      </x:c>
      <x:c r="M755" s="11" t="n">
        <x:f>K755-L755</x:f>
        <x:v>216.60000000000002</x:v>
      </x:c>
      <x:c r="N755" s="8" t="str">
        <x:v>Online</x:v>
      </x:c>
      <x:c r="O755" s="8" t="str">
        <x:v>PayPal</x:v>
      </x:c>
      <x:c r="P755" s="8" t="str">
        <x:v>Cancelled</x:v>
      </x:c>
    </x:row>
    <x:row r="756">
      <x:c r="A756" s="8" t="str">
        <x:v>ORD-2025755</x:v>
      </x:c>
      <x:c r="B756" s="9" t="n">
        <x:v>45888</x:v>
      </x:c>
      <x:c r="C756" s="8" t="str">
        <x:v>Central</x:v>
      </x:c>
      <x:c r="D756" s="8" t="str">
        <x:v>Mia Johnson</x:v>
      </x:c>
      <x:c r="E756" s="8" t="str">
        <x:v>Nexus Inc</x:v>
      </x:c>
      <x:c r="F756" s="8" t="str">
        <x:v>Accessories</x:v>
      </x:c>
      <x:c r="G756" s="8" t="str">
        <x:v>Wireless Mouse</x:v>
      </x:c>
      <x:c r="H756" s="10" t="n">
        <x:v>10</x:v>
      </x:c>
      <x:c r="I756" s="11" t="n">
        <x:v>40</x:v>
      </x:c>
      <x:c r="J756" s="12" t="n">
        <x:v>0.1</x:v>
      </x:c>
      <x:c r="K756" s="11" t="n">
        <x:f>H756*I756*(1-J756)</x:f>
        <x:v>360</x:v>
      </x:c>
      <x:c r="L756" s="11" t="n">
        <x:f>H756*(I756*0.62)</x:f>
        <x:v>248</x:v>
      </x:c>
      <x:c r="M756" s="11" t="n">
        <x:f>K756-L756</x:f>
        <x:v>112</x:v>
      </x:c>
      <x:c r="N756" s="8" t="str">
        <x:v>Partner</x:v>
      </x:c>
      <x:c r="O756" s="8" t="str">
        <x:v>Credit Card</x:v>
      </x:c>
      <x:c r="P756" s="8" t="str">
        <x:v>Closed Won</x:v>
      </x:c>
    </x:row>
    <x:row r="757">
      <x:c r="A757" s="8" t="str">
        <x:v>ORD-2025756</x:v>
      </x:c>
      <x:c r="B757" s="9" t="n">
        <x:v>45870</x:v>
      </x:c>
      <x:c r="C757" s="8" t="str">
        <x:v>West</x:v>
      </x:c>
      <x:c r="D757" s="8" t="str">
        <x:v>Emma Martin</x:v>
      </x:c>
      <x:c r="E757" s="8" t="str">
        <x:v>Nova LLC</x:v>
      </x:c>
      <x:c r="F757" s="8" t="str">
        <x:v>Software</x:v>
      </x:c>
      <x:c r="G757" s="8" t="str">
        <x:v>ProjectFlow</x:v>
      </x:c>
      <x:c r="H757" s="10" t="n">
        <x:v>24</x:v>
      </x:c>
      <x:c r="I757" s="11" t="n">
        <x:v>700</x:v>
      </x:c>
      <x:c r="J757" s="12" t="n">
        <x:v>0.1</x:v>
      </x:c>
      <x:c r="K757" s="11" t="n">
        <x:f>H757*I757*(1-J757)</x:f>
        <x:v>15120</x:v>
      </x:c>
      <x:c r="L757" s="11" t="n">
        <x:f>H757*(I757*0.62)</x:f>
        <x:v>10416</x:v>
      </x:c>
      <x:c r="M757" s="11" t="n">
        <x:f>K757-L757</x:f>
        <x:v>4704</x:v>
      </x:c>
      <x:c r="N757" s="8" t="str">
        <x:v>Partner</x:v>
      </x:c>
      <x:c r="O757" s="8" t="str">
        <x:v>Credit Card</x:v>
      </x:c>
      <x:c r="P757" s="8" t="str">
        <x:v>Pending</x:v>
      </x:c>
    </x:row>
    <x:row r="758">
      <x:c r="A758" s="8" t="str">
        <x:v>ORD-2025757</x:v>
      </x:c>
      <x:c r="B758" s="9" t="n">
        <x:v>45776</x:v>
      </x:c>
      <x:c r="C758" s="8" t="str">
        <x:v>North</x:v>
      </x:c>
      <x:c r="D758" s="8" t="str">
        <x:v>Mason Lee</x:v>
      </x:c>
      <x:c r="E758" s="8" t="str">
        <x:v>Acme Co</x:v>
      </x:c>
      <x:c r="F758" s="8" t="str">
        <x:v>Accessories</x:v>
      </x:c>
      <x:c r="G758" s="8" t="str">
        <x:v>Headset</x:v>
      </x:c>
      <x:c r="H758" s="10" t="n">
        <x:v>14</x:v>
      </x:c>
      <x:c r="I758" s="11" t="n">
        <x:v>85</x:v>
      </x:c>
      <x:c r="J758" s="12" t="n">
        <x:v>0.1</x:v>
      </x:c>
      <x:c r="K758" s="11" t="n">
        <x:f>H758*I758*(1-J758)</x:f>
        <x:v>1071</x:v>
      </x:c>
      <x:c r="L758" s="11" t="n">
        <x:f>H758*(I758*0.62)</x:f>
        <x:v>737.8000000000001</x:v>
      </x:c>
      <x:c r="M758" s="11" t="n">
        <x:f>K758-L758</x:f>
        <x:v>333.19999999999993</x:v>
      </x:c>
      <x:c r="N758" s="8" t="str">
        <x:v>Partner</x:v>
      </x:c>
      <x:c r="O758" s="8" t="str">
        <x:v>Credit Card</x:v>
      </x:c>
      <x:c r="P758" s="8" t="str">
        <x:v>Closed Won</x:v>
      </x:c>
    </x:row>
    <x:row r="759">
      <x:c r="A759" s="8" t="str">
        <x:v>ORD-2025758</x:v>
      </x:c>
      <x:c r="B759" s="9" t="n">
        <x:v>45717</x:v>
      </x:c>
      <x:c r="C759" s="8" t="str">
        <x:v>West</x:v>
      </x:c>
      <x:c r="D759" s="8" t="str">
        <x:v>Emma Martin</x:v>
      </x:c>
      <x:c r="E759" s="8" t="str">
        <x:v>Harbor LLC</x:v>
      </x:c>
      <x:c r="F759" s="8" t="str">
        <x:v>Accessories</x:v>
      </x:c>
      <x:c r="G759" s="8" t="str">
        <x:v>Headset</x:v>
      </x:c>
      <x:c r="H759" s="10" t="n">
        <x:v>15</x:v>
      </x:c>
      <x:c r="I759" s="11" t="n">
        <x:v>85</x:v>
      </x:c>
      <x:c r="J759" s="12" t="n">
        <x:v>0.15</x:v>
      </x:c>
      <x:c r="K759" s="11" t="n">
        <x:f>H759*I759*(1-J759)</x:f>
        <x:v>1083.75</x:v>
      </x:c>
      <x:c r="L759" s="11" t="n">
        <x:f>H759*(I759*0.62)</x:f>
        <x:v>790.5</x:v>
      </x:c>
      <x:c r="M759" s="11" t="n">
        <x:f>K759-L759</x:f>
        <x:v>293.25</x:v>
      </x:c>
      <x:c r="N759" s="8" t="str">
        <x:v>Partner</x:v>
      </x:c>
      <x:c r="O759" s="8" t="str">
        <x:v>Credit Card</x:v>
      </x:c>
      <x:c r="P759" s="8" t="str">
        <x:v>Closed Won</x:v>
      </x:c>
    </x:row>
    <x:row r="760">
      <x:c r="A760" s="8" t="str">
        <x:v>ORD-2025759</x:v>
      </x:c>
      <x:c r="B760" s="9" t="n">
        <x:v>45834</x:v>
      </x:c>
      <x:c r="C760" s="8" t="str">
        <x:v>West</x:v>
      </x:c>
      <x:c r="D760" s="8" t="str">
        <x:v>Mia Johnson</x:v>
      </x:c>
      <x:c r="E760" s="8" t="str">
        <x:v>Southridge LLC</x:v>
      </x:c>
      <x:c r="F760" s="8" t="str">
        <x:v>Hardware</x:v>
      </x:c>
      <x:c r="G760" s="8" t="str">
        <x:v>Monitor 27</x:v>
      </x:c>
      <x:c r="H760" s="10" t="n">
        <x:v>8</x:v>
      </x:c>
      <x:c r="I760" s="11" t="n">
        <x:v>320</x:v>
      </x:c>
      <x:c r="J760" s="12" t="n">
        <x:v>0.1</x:v>
      </x:c>
      <x:c r="K760" s="11" t="n">
        <x:f>H760*I760*(1-J760)</x:f>
        <x:v>2304</x:v>
      </x:c>
      <x:c r="L760" s="11" t="n">
        <x:f>H760*(I760*0.62)</x:f>
        <x:v>1587.2</x:v>
      </x:c>
      <x:c r="M760" s="11" t="n">
        <x:f>K760-L760</x:f>
        <x:v>716.8</x:v>
      </x:c>
      <x:c r="N760" s="8" t="str">
        <x:v>Online</x:v>
      </x:c>
      <x:c r="O760" s="8" t="str">
        <x:v>Invoice</x:v>
      </x:c>
      <x:c r="P760" s="8" t="str">
        <x:v>Cancelled</x:v>
      </x:c>
    </x:row>
    <x:row r="761">
      <x:c r="A761" s="8" t="str">
        <x:v>ORD-2025760</x:v>
      </x:c>
      <x:c r="B761" s="9" t="n">
        <x:v>45808</x:v>
      </x:c>
      <x:c r="C761" s="8" t="str">
        <x:v>West</x:v>
      </x:c>
      <x:c r="D761" s="8" t="str">
        <x:v>Lucas Brown</x:v>
      </x:c>
      <x:c r="E761" s="8" t="str">
        <x:v>Harbor Co</x:v>
      </x:c>
      <x:c r="F761" s="8" t="str">
        <x:v>Accessories</x:v>
      </x:c>
      <x:c r="G761" s="8" t="str">
        <x:v>Keyboard Pro</x:v>
      </x:c>
      <x:c r="H761" s="10" t="n">
        <x:v>16</x:v>
      </x:c>
      <x:c r="I761" s="11" t="n">
        <x:v>95</x:v>
      </x:c>
      <x:c r="J761" s="12" t="n">
        <x:v>0.2</x:v>
      </x:c>
      <x:c r="K761" s="11" t="n">
        <x:f>H761*I761*(1-J761)</x:f>
        <x:v>1216</x:v>
      </x:c>
      <x:c r="L761" s="11" t="n">
        <x:f>H761*(I761*0.62)</x:f>
        <x:v>942.4</x:v>
      </x:c>
      <x:c r="M761" s="11" t="n">
        <x:f>K761-L761</x:f>
        <x:v>273.6</x:v>
      </x:c>
      <x:c r="N761" s="8" t="str">
        <x:v>Direct</x:v>
      </x:c>
      <x:c r="O761" s="8" t="str">
        <x:v>Bank Transfer</x:v>
      </x:c>
      <x:c r="P761" s="8" t="str">
        <x:v>Closed Won</x:v>
      </x:c>
    </x:row>
    <x:row r="762">
      <x:c r="A762" s="8" t="str">
        <x:v>ORD-2025761</x:v>
      </x:c>
      <x:c r="B762" s="9" t="n">
        <x:v>45724</x:v>
      </x:c>
      <x:c r="C762" s="8" t="str">
        <x:v>South</x:v>
      </x:c>
      <x:c r="D762" s="8" t="str">
        <x:v>Mia Johnson</x:v>
      </x:c>
      <x:c r="E762" s="8" t="str">
        <x:v>GreenLeaf LLC</x:v>
      </x:c>
      <x:c r="F762" s="8" t="str">
        <x:v>Software</x:v>
      </x:c>
      <x:c r="G762" s="8" t="str">
        <x:v>ProjectFlow</x:v>
      </x:c>
      <x:c r="H762" s="10" t="n">
        <x:v>20</x:v>
      </x:c>
      <x:c r="I762" s="11" t="n">
        <x:v>700</x:v>
      </x:c>
      <x:c r="J762" s="12" t="n">
        <x:v>0.05</x:v>
      </x:c>
      <x:c r="K762" s="11" t="n">
        <x:f>H762*I762*(1-J762)</x:f>
        <x:v>13300</x:v>
      </x:c>
      <x:c r="L762" s="11" t="n">
        <x:f>H762*(I762*0.62)</x:f>
        <x:v>8680</x:v>
      </x:c>
      <x:c r="M762" s="11" t="n">
        <x:f>K762-L762</x:f>
        <x:v>4620</x:v>
      </x:c>
      <x:c r="N762" s="8" t="str">
        <x:v>Direct</x:v>
      </x:c>
      <x:c r="O762" s="8" t="str">
        <x:v>PayPal</x:v>
      </x:c>
      <x:c r="P762" s="8" t="str">
        <x:v>Cancelled</x:v>
      </x:c>
    </x:row>
    <x:row r="763">
      <x:c r="A763" s="8" t="str">
        <x:v>ORD-2025762</x:v>
      </x:c>
      <x:c r="B763" s="9" t="n">
        <x:v>45778</x:v>
      </x:c>
      <x:c r="C763" s="8" t="str">
        <x:v>South</x:v>
      </x:c>
      <x:c r="D763" s="8" t="str">
        <x:v>Mason Lee</x:v>
      </x:c>
      <x:c r="E763" s="8" t="str">
        <x:v>Summit Co</x:v>
      </x:c>
      <x:c r="F763" s="8" t="str">
        <x:v>Accessories</x:v>
      </x:c>
      <x:c r="G763" s="8" t="str">
        <x:v>Webcam HD</x:v>
      </x:c>
      <x:c r="H763" s="10" t="n">
        <x:v>1</x:v>
      </x:c>
      <x:c r="I763" s="11" t="n">
        <x:v>110</x:v>
      </x:c>
      <x:c r="J763" s="12" t="n">
        <x:v>0</x:v>
      </x:c>
      <x:c r="K763" s="11" t="n">
        <x:f>H763*I763*(1-J763)</x:f>
        <x:v>110</x:v>
      </x:c>
      <x:c r="L763" s="11" t="n">
        <x:f>H763*(I763*0.62)</x:f>
        <x:v>68.2</x:v>
      </x:c>
      <x:c r="M763" s="11" t="n">
        <x:f>K763-L763</x:f>
        <x:v>41.8</x:v>
      </x:c>
      <x:c r="N763" s="8" t="str">
        <x:v>Partner</x:v>
      </x:c>
      <x:c r="O763" s="8" t="str">
        <x:v>Invoice</x:v>
      </x:c>
      <x:c r="P763" s="8" t="str">
        <x:v>Shipped</x:v>
      </x:c>
    </x:row>
    <x:row r="764">
      <x:c r="A764" s="8" t="str">
        <x:v>ORD-2025763</x:v>
      </x:c>
      <x:c r="B764" s="9" t="n">
        <x:v>45690</x:v>
      </x:c>
      <x:c r="C764" s="8" t="str">
        <x:v>East</x:v>
      </x:c>
      <x:c r="D764" s="8" t="str">
        <x:v>Lucas Brown</x:v>
      </x:c>
      <x:c r="E764" s="8" t="str">
        <x:v>Pioneer Co</x:v>
      </x:c>
      <x:c r="F764" s="8" t="str">
        <x:v>Hardware</x:v>
      </x:c>
      <x:c r="G764" s="8" t="str">
        <x:v>Laptop X</x:v>
      </x:c>
      <x:c r="H764" s="10" t="n">
        <x:v>20</x:v>
      </x:c>
      <x:c r="I764" s="11" t="n">
        <x:v>1500</x:v>
      </x:c>
      <x:c r="J764" s="12" t="n">
        <x:v>0</x:v>
      </x:c>
      <x:c r="K764" s="11" t="n">
        <x:f>H764*I764*(1-J764)</x:f>
        <x:v>30000</x:v>
      </x:c>
      <x:c r="L764" s="11" t="n">
        <x:f>H764*(I764*0.62)</x:f>
        <x:v>18600</x:v>
      </x:c>
      <x:c r="M764" s="11" t="n">
        <x:f>K764-L764</x:f>
        <x:v>11400</x:v>
      </x:c>
      <x:c r="N764" s="8" t="str">
        <x:v>Direct</x:v>
      </x:c>
      <x:c r="O764" s="8" t="str">
        <x:v>Bank Transfer</x:v>
      </x:c>
      <x:c r="P764" s="8" t="str">
        <x:v>Pending</x:v>
      </x:c>
    </x:row>
    <x:row r="765">
      <x:c r="A765" s="8" t="str">
        <x:v>ORD-2025764</x:v>
      </x:c>
      <x:c r="B765" s="9" t="n">
        <x:v>45681</x:v>
      </x:c>
      <x:c r="C765" s="8" t="str">
        <x:v>Central</x:v>
      </x:c>
      <x:c r="D765" s="8" t="str">
        <x:v>Ethan Garcia</x:v>
      </x:c>
      <x:c r="E765" s="8" t="str">
        <x:v>Urban Group</x:v>
      </x:c>
      <x:c r="F765" s="8" t="str">
        <x:v>Services</x:v>
      </x:c>
      <x:c r="G765" s="8" t="str">
        <x:v>Support Plus</x:v>
      </x:c>
      <x:c r="H765" s="10" t="n">
        <x:v>23</x:v>
      </x:c>
      <x:c r="I765" s="11" t="n">
        <x:v>650</x:v>
      </x:c>
      <x:c r="J765" s="12" t="n">
        <x:v>0.2</x:v>
      </x:c>
      <x:c r="K765" s="11" t="n">
        <x:f>H765*I765*(1-J765)</x:f>
        <x:v>11960</x:v>
      </x:c>
      <x:c r="L765" s="11" t="n">
        <x:f>H765*(I765*0.62)</x:f>
        <x:v>9269</x:v>
      </x:c>
      <x:c r="M765" s="11" t="n">
        <x:f>K765-L765</x:f>
        <x:v>2691</x:v>
      </x:c>
      <x:c r="N765" s="8" t="str">
        <x:v>Online</x:v>
      </x:c>
      <x:c r="O765" s="8" t="str">
        <x:v>Credit Card</x:v>
      </x:c>
      <x:c r="P765" s="8" t="str">
        <x:v>Shipped</x:v>
      </x:c>
    </x:row>
    <x:row r="766">
      <x:c r="A766" s="8" t="str">
        <x:v>ORD-2025765</x:v>
      </x:c>
      <x:c r="B766" s="9" t="n">
        <x:v>45714</x:v>
      </x:c>
      <x:c r="C766" s="8" t="str">
        <x:v>North</x:v>
      </x:c>
      <x:c r="D766" s="8" t="str">
        <x:v>Emma Martin</x:v>
      </x:c>
      <x:c r="E766" s="8" t="str">
        <x:v>Nova Co</x:v>
      </x:c>
      <x:c r="F766" s="8" t="str">
        <x:v>Accessories</x:v>
      </x:c>
      <x:c r="G766" s="8" t="str">
        <x:v>Headset</x:v>
      </x:c>
      <x:c r="H766" s="10" t="n">
        <x:v>4</x:v>
      </x:c>
      <x:c r="I766" s="11" t="n">
        <x:v>85</x:v>
      </x:c>
      <x:c r="J766" s="12" t="n">
        <x:v>0.2</x:v>
      </x:c>
      <x:c r="K766" s="11" t="n">
        <x:f>H766*I766*(1-J766)</x:f>
        <x:v>272</x:v>
      </x:c>
      <x:c r="L766" s="11" t="n">
        <x:f>H766*(I766*0.62)</x:f>
        <x:v>210.8</x:v>
      </x:c>
      <x:c r="M766" s="11" t="n">
        <x:f>K766-L766</x:f>
        <x:v>61.19999999999999</x:v>
      </x:c>
      <x:c r="N766" s="8" t="str">
        <x:v>Online</x:v>
      </x:c>
      <x:c r="O766" s="8" t="str">
        <x:v>Credit Card</x:v>
      </x:c>
      <x:c r="P766" s="8" t="str">
        <x:v>Pending</x:v>
      </x:c>
    </x:row>
    <x:row r="767">
      <x:c r="A767" s="8" t="str">
        <x:v>ORD-2025766</x:v>
      </x:c>
      <x:c r="B767" s="9" t="n">
        <x:v>45763</x:v>
      </x:c>
      <x:c r="C767" s="8" t="str">
        <x:v>East</x:v>
      </x:c>
      <x:c r="D767" s="8" t="str">
        <x:v>Noah Davis</x:v>
      </x:c>
      <x:c r="E767" s="8" t="str">
        <x:v>Vertex Inc</x:v>
      </x:c>
      <x:c r="F767" s="8" t="str">
        <x:v>Hardware</x:v>
      </x:c>
      <x:c r="G767" s="8" t="str">
        <x:v>Laptop X</x:v>
      </x:c>
      <x:c r="H767" s="10" t="n">
        <x:v>23</x:v>
      </x:c>
      <x:c r="I767" s="11" t="n">
        <x:v>1500</x:v>
      </x:c>
      <x:c r="J767" s="12" t="n">
        <x:v>0.05</x:v>
      </x:c>
      <x:c r="K767" s="11" t="n">
        <x:f>H767*I767*(1-J767)</x:f>
        <x:v>32775</x:v>
      </x:c>
      <x:c r="L767" s="11" t="n">
        <x:f>H767*(I767*0.62)</x:f>
        <x:v>21390</x:v>
      </x:c>
      <x:c r="M767" s="11" t="n">
        <x:f>K767-L767</x:f>
        <x:v>11385</x:v>
      </x:c>
      <x:c r="N767" s="8" t="str">
        <x:v>Online</x:v>
      </x:c>
      <x:c r="O767" s="8" t="str">
        <x:v>PayPal</x:v>
      </x:c>
      <x:c r="P767" s="8" t="str">
        <x:v>Shipped</x:v>
      </x:c>
    </x:row>
    <x:row r="768">
      <x:c r="A768" s="8" t="str">
        <x:v>ORD-2025767</x:v>
      </x:c>
      <x:c r="B768" s="9" t="n">
        <x:v>45989</x:v>
      </x:c>
      <x:c r="C768" s="8" t="str">
        <x:v>East</x:v>
      </x:c>
      <x:c r="D768" s="8" t="str">
        <x:v>Sophia Kim</x:v>
      </x:c>
      <x:c r="E768" s="8" t="str">
        <x:v>Urban Inc</x:v>
      </x:c>
      <x:c r="F768" s="8" t="str">
        <x:v>Software</x:v>
      </x:c>
      <x:c r="G768" s="8" t="str">
        <x:v>Analytics Cloud</x:v>
      </x:c>
      <x:c r="H768" s="10" t="n">
        <x:v>4</x:v>
      </x:c>
      <x:c r="I768" s="11" t="n">
        <x:v>1800</x:v>
      </x:c>
      <x:c r="J768" s="12" t="n">
        <x:v>0.2</x:v>
      </x:c>
      <x:c r="K768" s="11" t="n">
        <x:f>H768*I768*(1-J768)</x:f>
        <x:v>5760</x:v>
      </x:c>
      <x:c r="L768" s="11" t="n">
        <x:f>H768*(I768*0.62)</x:f>
        <x:v>4464</x:v>
      </x:c>
      <x:c r="M768" s="11" t="n">
        <x:f>K768-L768</x:f>
        <x:v>1296</x:v>
      </x:c>
      <x:c r="N768" s="8" t="str">
        <x:v>Direct</x:v>
      </x:c>
      <x:c r="O768" s="8" t="str">
        <x:v>PayPal</x:v>
      </x:c>
      <x:c r="P768" s="8" t="str">
        <x:v>Cancelled</x:v>
      </x:c>
    </x:row>
    <x:row r="769">
      <x:c r="A769" s="8" t="str">
        <x:v>ORD-2025768</x:v>
      </x:c>
      <x:c r="B769" s="9" t="n">
        <x:v>45900</x:v>
      </x:c>
      <x:c r="C769" s="8" t="str">
        <x:v>East</x:v>
      </x:c>
      <x:c r="D769" s="8" t="str">
        <x:v>Ethan Garcia</x:v>
      </x:c>
      <x:c r="E769" s="8" t="str">
        <x:v>Southridge LLC</x:v>
      </x:c>
      <x:c r="F769" s="8" t="str">
        <x:v>Software</x:v>
      </x:c>
      <x:c r="G769" s="8" t="str">
        <x:v>Analytics Cloud</x:v>
      </x:c>
      <x:c r="H769" s="10" t="n">
        <x:v>6</x:v>
      </x:c>
      <x:c r="I769" s="11" t="n">
        <x:v>1800</x:v>
      </x:c>
      <x:c r="J769" s="12" t="n">
        <x:v>0</x:v>
      </x:c>
      <x:c r="K769" s="11" t="n">
        <x:f>H769*I769*(1-J769)</x:f>
        <x:v>10800</x:v>
      </x:c>
      <x:c r="L769" s="11" t="n">
        <x:f>H769*(I769*0.62)</x:f>
        <x:v>6696</x:v>
      </x:c>
      <x:c r="M769" s="11" t="n">
        <x:f>K769-L769</x:f>
        <x:v>4104</x:v>
      </x:c>
      <x:c r="N769" s="8" t="str">
        <x:v>Partner</x:v>
      </x:c>
      <x:c r="O769" s="8" t="str">
        <x:v>Invoice</x:v>
      </x:c>
      <x:c r="P769" s="8" t="str">
        <x:v>Shipped</x:v>
      </x:c>
    </x:row>
    <x:row r="770">
      <x:c r="A770" s="8" t="str">
        <x:v>ORD-2025769</x:v>
      </x:c>
      <x:c r="B770" s="9" t="n">
        <x:v>45980</x:v>
      </x:c>
      <x:c r="C770" s="8" t="str">
        <x:v>South</x:v>
      </x:c>
      <x:c r="D770" s="8" t="str">
        <x:v>Noah Davis</x:v>
      </x:c>
      <x:c r="E770" s="8" t="str">
        <x:v>Southridge Group</x:v>
      </x:c>
      <x:c r="F770" s="8" t="str">
        <x:v>Accessories</x:v>
      </x:c>
      <x:c r="G770" s="8" t="str">
        <x:v>Webcam HD</x:v>
      </x:c>
      <x:c r="H770" s="10" t="n">
        <x:v>14</x:v>
      </x:c>
      <x:c r="I770" s="11" t="n">
        <x:v>110</x:v>
      </x:c>
      <x:c r="J770" s="12" t="n">
        <x:v>0.2</x:v>
      </x:c>
      <x:c r="K770" s="11" t="n">
        <x:f>H770*I770*(1-J770)</x:f>
        <x:v>1232</x:v>
      </x:c>
      <x:c r="L770" s="11" t="n">
        <x:f>H770*(I770*0.62)</x:f>
        <x:v>954.8000000000001</x:v>
      </x:c>
      <x:c r="M770" s="11" t="n">
        <x:f>K770-L770</x:f>
        <x:v>277.19999999999993</x:v>
      </x:c>
      <x:c r="N770" s="8" t="str">
        <x:v>Direct</x:v>
      </x:c>
      <x:c r="O770" s="8" t="str">
        <x:v>Bank Transfer</x:v>
      </x:c>
      <x:c r="P770" s="8" t="str">
        <x:v>Returned</x:v>
      </x:c>
    </x:row>
    <x:row r="771">
      <x:c r="A771" s="8" t="str">
        <x:v>ORD-2025770</x:v>
      </x:c>
      <x:c r="B771" s="9" t="n">
        <x:v>45892</x:v>
      </x:c>
      <x:c r="C771" s="8" t="str">
        <x:v>Central</x:v>
      </x:c>
      <x:c r="D771" s="8" t="str">
        <x:v>Sophia Kim</x:v>
      </x:c>
      <x:c r="E771" s="8" t="str">
        <x:v>Acme Group</x:v>
      </x:c>
      <x:c r="F771" s="8" t="str">
        <x:v>Accessories</x:v>
      </x:c>
      <x:c r="G771" s="8" t="str">
        <x:v>Headset</x:v>
      </x:c>
      <x:c r="H771" s="10" t="n">
        <x:v>15</x:v>
      </x:c>
      <x:c r="I771" s="11" t="n">
        <x:v>85</x:v>
      </x:c>
      <x:c r="J771" s="12" t="n">
        <x:v>0</x:v>
      </x:c>
      <x:c r="K771" s="11" t="n">
        <x:f>H771*I771*(1-J771)</x:f>
        <x:v>1275</x:v>
      </x:c>
      <x:c r="L771" s="11" t="n">
        <x:f>H771*(I771*0.62)</x:f>
        <x:v>790.5</x:v>
      </x:c>
      <x:c r="M771" s="11" t="n">
        <x:f>K771-L771</x:f>
        <x:v>484.5</x:v>
      </x:c>
      <x:c r="N771" s="8" t="str">
        <x:v>Direct</x:v>
      </x:c>
      <x:c r="O771" s="8" t="str">
        <x:v>Credit Card</x:v>
      </x:c>
      <x:c r="P771" s="8" t="str">
        <x:v>Closed Won</x:v>
      </x:c>
    </x:row>
    <x:row r="772">
      <x:c r="A772" s="8" t="str">
        <x:v>ORD-2025771</x:v>
      </x:c>
      <x:c r="B772" s="9" t="n">
        <x:v>45742</x:v>
      </x:c>
      <x:c r="C772" s="8" t="str">
        <x:v>West</x:v>
      </x:c>
      <x:c r="D772" s="8" t="str">
        <x:v>Ava Patel</x:v>
      </x:c>
      <x:c r="E772" s="8" t="str">
        <x:v>SilverLine Co</x:v>
      </x:c>
      <x:c r="F772" s="8" t="str">
        <x:v>Services</x:v>
      </x:c>
      <x:c r="G772" s="8" t="str">
        <x:v>Consulting Day</x:v>
      </x:c>
      <x:c r="H772" s="10" t="n">
        <x:v>25</x:v>
      </x:c>
      <x:c r="I772" s="11" t="n">
        <x:v>1400</x:v>
      </x:c>
      <x:c r="J772" s="12" t="n">
        <x:v>0</x:v>
      </x:c>
      <x:c r="K772" s="11" t="n">
        <x:f>H772*I772*(1-J772)</x:f>
        <x:v>35000</x:v>
      </x:c>
      <x:c r="L772" s="11" t="n">
        <x:f>H772*(I772*0.62)</x:f>
        <x:v>21700</x:v>
      </x:c>
      <x:c r="M772" s="11" t="n">
        <x:f>K772-L772</x:f>
        <x:v>13300</x:v>
      </x:c>
      <x:c r="N772" s="8" t="str">
        <x:v>Online</x:v>
      </x:c>
      <x:c r="O772" s="8" t="str">
        <x:v>Bank Transfer</x:v>
      </x:c>
      <x:c r="P772" s="8" t="str">
        <x:v>Cancelled</x:v>
      </x:c>
    </x:row>
    <x:row r="773">
      <x:c r="A773" s="8" t="str">
        <x:v>ORD-2025772</x:v>
      </x:c>
      <x:c r="B773" s="9" t="n">
        <x:v>45872</x:v>
      </x:c>
      <x:c r="C773" s="8" t="str">
        <x:v>West</x:v>
      </x:c>
      <x:c r="D773" s="8" t="str">
        <x:v>Mason Lee</x:v>
      </x:c>
      <x:c r="E773" s="8" t="str">
        <x:v>Vertex Co</x:v>
      </x:c>
      <x:c r="F773" s="8" t="str">
        <x:v>Software</x:v>
      </x:c>
      <x:c r="G773" s="8" t="str">
        <x:v>HR Suite</x:v>
      </x:c>
      <x:c r="H773" s="10" t="n">
        <x:v>24</x:v>
      </x:c>
      <x:c r="I773" s="11" t="n">
        <x:v>950</x:v>
      </x:c>
      <x:c r="J773" s="12" t="n">
        <x:v>0.15</x:v>
      </x:c>
      <x:c r="K773" s="11" t="n">
        <x:f>H773*I773*(1-J773)</x:f>
        <x:v>19380</x:v>
      </x:c>
      <x:c r="L773" s="11" t="n">
        <x:f>H773*(I773*0.62)</x:f>
        <x:v>14136</x:v>
      </x:c>
      <x:c r="M773" s="11" t="n">
        <x:f>K773-L773</x:f>
        <x:v>5244</x:v>
      </x:c>
      <x:c r="N773" s="8" t="str">
        <x:v>Partner</x:v>
      </x:c>
      <x:c r="O773" s="8" t="str">
        <x:v>Invoice</x:v>
      </x:c>
      <x:c r="P773" s="8" t="str">
        <x:v>Closed Won</x:v>
      </x:c>
    </x:row>
    <x:row r="774">
      <x:c r="A774" s="8" t="str">
        <x:v>ORD-2025773</x:v>
      </x:c>
      <x:c r="B774" s="9" t="n">
        <x:v>46016</x:v>
      </x:c>
      <x:c r="C774" s="8" t="str">
        <x:v>West</x:v>
      </x:c>
      <x:c r="D774" s="8" t="str">
        <x:v>Olivia Wilson</x:v>
      </x:c>
      <x:c r="E774" s="8" t="str">
        <x:v>Nexus Co</x:v>
      </x:c>
      <x:c r="F774" s="8" t="str">
        <x:v>Services</x:v>
      </x:c>
      <x:c r="G774" s="8" t="str">
        <x:v>Training</x:v>
      </x:c>
      <x:c r="H774" s="10" t="n">
        <x:v>18</x:v>
      </x:c>
      <x:c r="I774" s="11" t="n">
        <x:v>900</x:v>
      </x:c>
      <x:c r="J774" s="12" t="n">
        <x:v>0.1</x:v>
      </x:c>
      <x:c r="K774" s="11" t="n">
        <x:f>H774*I774*(1-J774)</x:f>
        <x:v>14580</x:v>
      </x:c>
      <x:c r="L774" s="11" t="n">
        <x:f>H774*(I774*0.62)</x:f>
        <x:v>10044</x:v>
      </x:c>
      <x:c r="M774" s="11" t="n">
        <x:f>K774-L774</x:f>
        <x:v>4536</x:v>
      </x:c>
      <x:c r="N774" s="8" t="str">
        <x:v>Online</x:v>
      </x:c>
      <x:c r="O774" s="8" t="str">
        <x:v>PayPal</x:v>
      </x:c>
      <x:c r="P774" s="8" t="str">
        <x:v>Shipped</x:v>
      </x:c>
    </x:row>
    <x:row r="775">
      <x:c r="A775" s="8" t="str">
        <x:v>ORD-2025774</x:v>
      </x:c>
      <x:c r="B775" s="9" t="n">
        <x:v>45812</x:v>
      </x:c>
      <x:c r="C775" s="8" t="str">
        <x:v>North</x:v>
      </x:c>
      <x:c r="D775" s="8" t="str">
        <x:v>Ava Patel</x:v>
      </x:c>
      <x:c r="E775" s="8" t="str">
        <x:v>Maple LLC</x:v>
      </x:c>
      <x:c r="F775" s="8" t="str">
        <x:v>Accessories</x:v>
      </x:c>
      <x:c r="G775" s="8" t="str">
        <x:v>Keyboard Pro</x:v>
      </x:c>
      <x:c r="H775" s="10" t="n">
        <x:v>11</x:v>
      </x:c>
      <x:c r="I775" s="11" t="n">
        <x:v>95</x:v>
      </x:c>
      <x:c r="J775" s="12" t="n">
        <x:v>0.05</x:v>
      </x:c>
      <x:c r="K775" s="11" t="n">
        <x:f>H775*I775*(1-J775)</x:f>
        <x:v>992.75</x:v>
      </x:c>
      <x:c r="L775" s="11" t="n">
        <x:f>H775*(I775*0.62)</x:f>
        <x:v>647.9</x:v>
      </x:c>
      <x:c r="M775" s="11" t="n">
        <x:f>K775-L775</x:f>
        <x:v>344.85</x:v>
      </x:c>
      <x:c r="N775" s="8" t="str">
        <x:v>Online</x:v>
      </x:c>
      <x:c r="O775" s="8" t="str">
        <x:v>Bank Transfer</x:v>
      </x:c>
      <x:c r="P775" s="8" t="str">
        <x:v>Pending</x:v>
      </x:c>
    </x:row>
    <x:row r="776">
      <x:c r="A776" s="8" t="str">
        <x:v>ORD-2025775</x:v>
      </x:c>
      <x:c r="B776" s="9" t="n">
        <x:v>45705</x:v>
      </x:c>
      <x:c r="C776" s="8" t="str">
        <x:v>Central</x:v>
      </x:c>
      <x:c r="D776" s="8" t="str">
        <x:v>Mason Lee</x:v>
      </x:c>
      <x:c r="E776" s="8" t="str">
        <x:v>Vertex Group</x:v>
      </x:c>
      <x:c r="F776" s="8" t="str">
        <x:v>Services</x:v>
      </x:c>
      <x:c r="G776" s="8" t="str">
        <x:v>Training</x:v>
      </x:c>
      <x:c r="H776" s="10" t="n">
        <x:v>17</x:v>
      </x:c>
      <x:c r="I776" s="11" t="n">
        <x:v>900</x:v>
      </x:c>
      <x:c r="J776" s="12" t="n">
        <x:v>0</x:v>
      </x:c>
      <x:c r="K776" s="11" t="n">
        <x:f>H776*I776*(1-J776)</x:f>
        <x:v>15300</x:v>
      </x:c>
      <x:c r="L776" s="11" t="n">
        <x:f>H776*(I776*0.62)</x:f>
        <x:v>9486</x:v>
      </x:c>
      <x:c r="M776" s="11" t="n">
        <x:f>K776-L776</x:f>
        <x:v>5814</x:v>
      </x:c>
      <x:c r="N776" s="8" t="str">
        <x:v>Online</x:v>
      </x:c>
      <x:c r="O776" s="8" t="str">
        <x:v>Bank Transfer</x:v>
      </x:c>
      <x:c r="P776" s="8" t="str">
        <x:v>Closed Won</x:v>
      </x:c>
    </x:row>
    <x:row r="777">
      <x:c r="A777" s="8" t="str">
        <x:v>ORD-2025776</x:v>
      </x:c>
      <x:c r="B777" s="9" t="n">
        <x:v>45813</x:v>
      </x:c>
      <x:c r="C777" s="8" t="str">
        <x:v>West</x:v>
      </x:c>
      <x:c r="D777" s="8" t="str">
        <x:v>Mason Lee</x:v>
      </x:c>
      <x:c r="E777" s="8" t="str">
        <x:v>Pioneer Co</x:v>
      </x:c>
      <x:c r="F777" s="8" t="str">
        <x:v>Services</x:v>
      </x:c>
      <x:c r="G777" s="8" t="str">
        <x:v>Training</x:v>
      </x:c>
      <x:c r="H777" s="10" t="n">
        <x:v>24</x:v>
      </x:c>
      <x:c r="I777" s="11" t="n">
        <x:v>900</x:v>
      </x:c>
      <x:c r="J777" s="12" t="n">
        <x:v>0</x:v>
      </x:c>
      <x:c r="K777" s="11" t="n">
        <x:f>H777*I777*(1-J777)</x:f>
        <x:v>21600</x:v>
      </x:c>
      <x:c r="L777" s="11" t="n">
        <x:f>H777*(I777*0.62)</x:f>
        <x:v>13392</x:v>
      </x:c>
      <x:c r="M777" s="11" t="n">
        <x:f>K777-L777</x:f>
        <x:v>8208</x:v>
      </x:c>
      <x:c r="N777" s="8" t="str">
        <x:v>Partner</x:v>
      </x:c>
      <x:c r="O777" s="8" t="str">
        <x:v>Invoice</x:v>
      </x:c>
      <x:c r="P777" s="8" t="str">
        <x:v>Shipped</x:v>
      </x:c>
    </x:row>
    <x:row r="778">
      <x:c r="A778" s="8" t="str">
        <x:v>ORD-2025777</x:v>
      </x:c>
      <x:c r="B778" s="9" t="n">
        <x:v>45682</x:v>
      </x:c>
      <x:c r="C778" s="8" t="str">
        <x:v>North</x:v>
      </x:c>
      <x:c r="D778" s="8" t="str">
        <x:v>Olivia Wilson</x:v>
      </x:c>
      <x:c r="E778" s="8" t="str">
        <x:v>Vertex Co</x:v>
      </x:c>
      <x:c r="F778" s="8" t="str">
        <x:v>Services</x:v>
      </x:c>
      <x:c r="G778" s="8" t="str">
        <x:v>Implementation</x:v>
      </x:c>
      <x:c r="H778" s="10" t="n">
        <x:v>19</x:v>
      </x:c>
      <x:c r="I778" s="11" t="n">
        <x:v>2500</x:v>
      </x:c>
      <x:c r="J778" s="12" t="n">
        <x:v>0.15</x:v>
      </x:c>
      <x:c r="K778" s="11" t="n">
        <x:f>H778*I778*(1-J778)</x:f>
        <x:v>40375</x:v>
      </x:c>
      <x:c r="L778" s="11" t="n">
        <x:f>H778*(I778*0.62)</x:f>
        <x:v>29450</x:v>
      </x:c>
      <x:c r="M778" s="11" t="n">
        <x:f>K778-L778</x:f>
        <x:v>10925</x:v>
      </x:c>
      <x:c r="N778" s="8" t="str">
        <x:v>Direct</x:v>
      </x:c>
      <x:c r="O778" s="8" t="str">
        <x:v>PayPal</x:v>
      </x:c>
      <x:c r="P778" s="8" t="str">
        <x:v>Closed Won</x:v>
      </x:c>
    </x:row>
    <x:row r="779">
      <x:c r="A779" s="8" t="str">
        <x:v>ORD-2025778</x:v>
      </x:c>
      <x:c r="B779" s="9" t="n">
        <x:v>45837</x:v>
      </x:c>
      <x:c r="C779" s="8" t="str">
        <x:v>East</x:v>
      </x:c>
      <x:c r="D779" s="8" t="str">
        <x:v>Ethan Garcia</x:v>
      </x:c>
      <x:c r="E779" s="8" t="str">
        <x:v>Ironwood Inc</x:v>
      </x:c>
      <x:c r="F779" s="8" t="str">
        <x:v>Hardware</x:v>
      </x:c>
      <x:c r="G779" s="8" t="str">
        <x:v>Tablet Air</x:v>
      </x:c>
      <x:c r="H779" s="10" t="n">
        <x:v>22</x:v>
      </x:c>
      <x:c r="I779" s="11" t="n">
        <x:v>820</x:v>
      </x:c>
      <x:c r="J779" s="12" t="n">
        <x:v>0</x:v>
      </x:c>
      <x:c r="K779" s="11" t="n">
        <x:f>H779*I779*(1-J779)</x:f>
        <x:v>18040</x:v>
      </x:c>
      <x:c r="L779" s="11" t="n">
        <x:f>H779*(I779*0.62)</x:f>
        <x:v>11184.8</x:v>
      </x:c>
      <x:c r="M779" s="11" t="n">
        <x:f>K779-L779</x:f>
        <x:v>6855.200000000001</x:v>
      </x:c>
      <x:c r="N779" s="8" t="str">
        <x:v>Online</x:v>
      </x:c>
      <x:c r="O779" s="8" t="str">
        <x:v>PayPal</x:v>
      </x:c>
      <x:c r="P779" s="8" t="str">
        <x:v>Pending</x:v>
      </x:c>
    </x:row>
    <x:row r="780">
      <x:c r="A780" s="8" t="str">
        <x:v>ORD-2025779</x:v>
      </x:c>
      <x:c r="B780" s="9" t="n">
        <x:v>45825</x:v>
      </x:c>
      <x:c r="C780" s="8" t="str">
        <x:v>Central</x:v>
      </x:c>
      <x:c r="D780" s="8" t="str">
        <x:v>Emma Martin</x:v>
      </x:c>
      <x:c r="E780" s="8" t="str">
        <x:v>Nexus LLC</x:v>
      </x:c>
      <x:c r="F780" s="8" t="str">
        <x:v>Hardware</x:v>
      </x:c>
      <x:c r="G780" s="8" t="str">
        <x:v>Laptop X</x:v>
      </x:c>
      <x:c r="H780" s="10" t="n">
        <x:v>25</x:v>
      </x:c>
      <x:c r="I780" s="11" t="n">
        <x:v>1500</x:v>
      </x:c>
      <x:c r="J780" s="12" t="n">
        <x:v>0</x:v>
      </x:c>
      <x:c r="K780" s="11" t="n">
        <x:f>H780*I780*(1-J780)</x:f>
        <x:v>37500</x:v>
      </x:c>
      <x:c r="L780" s="11" t="n">
        <x:f>H780*(I780*0.62)</x:f>
        <x:v>23250</x:v>
      </x:c>
      <x:c r="M780" s="11" t="n">
        <x:f>K780-L780</x:f>
        <x:v>14250</x:v>
      </x:c>
      <x:c r="N780" s="8" t="str">
        <x:v>Partner</x:v>
      </x:c>
      <x:c r="O780" s="8" t="str">
        <x:v>Credit Card</x:v>
      </x:c>
      <x:c r="P780" s="8" t="str">
        <x:v>Closed Won</x:v>
      </x:c>
    </x:row>
    <x:row r="781">
      <x:c r="A781" s="8" t="str">
        <x:v>ORD-2025780</x:v>
      </x:c>
      <x:c r="B781" s="9" t="n">
        <x:v>45699</x:v>
      </x:c>
      <x:c r="C781" s="8" t="str">
        <x:v>North</x:v>
      </x:c>
      <x:c r="D781" s="8" t="str">
        <x:v>Ava Patel</x:v>
      </x:c>
      <x:c r="E781" s="8" t="str">
        <x:v>RedStone Co</x:v>
      </x:c>
      <x:c r="F781" s="8" t="str">
        <x:v>Accessories</x:v>
      </x:c>
      <x:c r="G781" s="8" t="str">
        <x:v>Headset</x:v>
      </x:c>
      <x:c r="H781" s="10" t="n">
        <x:v>5</x:v>
      </x:c>
      <x:c r="I781" s="11" t="n">
        <x:v>85</x:v>
      </x:c>
      <x:c r="J781" s="12" t="n">
        <x:v>0.05</x:v>
      </x:c>
      <x:c r="K781" s="11" t="n">
        <x:f>H781*I781*(1-J781)</x:f>
        <x:v>403.75</x:v>
      </x:c>
      <x:c r="L781" s="11" t="n">
        <x:f>H781*(I781*0.62)</x:f>
        <x:v>263.5</x:v>
      </x:c>
      <x:c r="M781" s="11" t="n">
        <x:f>K781-L781</x:f>
        <x:v>140.25</x:v>
      </x:c>
      <x:c r="N781" s="8" t="str">
        <x:v>Direct</x:v>
      </x:c>
      <x:c r="O781" s="8" t="str">
        <x:v>PayPal</x:v>
      </x:c>
      <x:c r="P781" s="8" t="str">
        <x:v>Closed Won</x:v>
      </x:c>
    </x:row>
    <x:row r="782">
      <x:c r="A782" s="8" t="str">
        <x:v>ORD-2025781</x:v>
      </x:c>
      <x:c r="B782" s="9" t="n">
        <x:v>45793</x:v>
      </x:c>
      <x:c r="C782" s="8" t="str">
        <x:v>Central</x:v>
      </x:c>
      <x:c r="D782" s="8" t="str">
        <x:v>Olivia Wilson</x:v>
      </x:c>
      <x:c r="E782" s="8" t="str">
        <x:v>RedStone Co</x:v>
      </x:c>
      <x:c r="F782" s="8" t="str">
        <x:v>Accessories</x:v>
      </x:c>
      <x:c r="G782" s="8" t="str">
        <x:v>Headset</x:v>
      </x:c>
      <x:c r="H782" s="10" t="n">
        <x:v>15</x:v>
      </x:c>
      <x:c r="I782" s="11" t="n">
        <x:v>85</x:v>
      </x:c>
      <x:c r="J782" s="12" t="n">
        <x:v>0.15</x:v>
      </x:c>
      <x:c r="K782" s="11" t="n">
        <x:f>H782*I782*(1-J782)</x:f>
        <x:v>1083.75</x:v>
      </x:c>
      <x:c r="L782" s="11" t="n">
        <x:f>H782*(I782*0.62)</x:f>
        <x:v>790.5</x:v>
      </x:c>
      <x:c r="M782" s="11" t="n">
        <x:f>K782-L782</x:f>
        <x:v>293.25</x:v>
      </x:c>
      <x:c r="N782" s="8" t="str">
        <x:v>Partner</x:v>
      </x:c>
      <x:c r="O782" s="8" t="str">
        <x:v>PayPal</x:v>
      </x:c>
      <x:c r="P782" s="8" t="str">
        <x:v>Returned</x:v>
      </x:c>
    </x:row>
    <x:row r="783">
      <x:c r="A783" s="8" t="str">
        <x:v>ORD-2025782</x:v>
      </x:c>
      <x:c r="B783" s="9" t="n">
        <x:v>45906</x:v>
      </x:c>
      <x:c r="C783" s="8" t="str">
        <x:v>West</x:v>
      </x:c>
      <x:c r="D783" s="8" t="str">
        <x:v>Noah Davis</x:v>
      </x:c>
      <x:c r="E783" s="8" t="str">
        <x:v>Southridge Inc</x:v>
      </x:c>
      <x:c r="F783" s="8" t="str">
        <x:v>Hardware</x:v>
      </x:c>
      <x:c r="G783" s="8" t="str">
        <x:v>Tablet Air</x:v>
      </x:c>
      <x:c r="H783" s="10" t="n">
        <x:v>17</x:v>
      </x:c>
      <x:c r="I783" s="11" t="n">
        <x:v>820</x:v>
      </x:c>
      <x:c r="J783" s="12" t="n">
        <x:v>0</x:v>
      </x:c>
      <x:c r="K783" s="11" t="n">
        <x:f>H783*I783*(1-J783)</x:f>
        <x:v>13940</x:v>
      </x:c>
      <x:c r="L783" s="11" t="n">
        <x:f>H783*(I783*0.62)</x:f>
        <x:v>8642.8</x:v>
      </x:c>
      <x:c r="M783" s="11" t="n">
        <x:f>K783-L783</x:f>
        <x:v>5297.200000000001</x:v>
      </x:c>
      <x:c r="N783" s="8" t="str">
        <x:v>Online</x:v>
      </x:c>
      <x:c r="O783" s="8" t="str">
        <x:v>Bank Transfer</x:v>
      </x:c>
      <x:c r="P783" s="8" t="str">
        <x:v>Pending</x:v>
      </x:c>
    </x:row>
    <x:row r="784">
      <x:c r="A784" s="8" t="str">
        <x:v>ORD-2025783</x:v>
      </x:c>
      <x:c r="B784" s="9" t="n">
        <x:v>45944</x:v>
      </x:c>
      <x:c r="C784" s="8" t="str">
        <x:v>East</x:v>
      </x:c>
      <x:c r="D784" s="8" t="str">
        <x:v>Liam Chen</x:v>
      </x:c>
      <x:c r="E784" s="8" t="str">
        <x:v>Nova Inc</x:v>
      </x:c>
      <x:c r="F784" s="8" t="str">
        <x:v>Software</x:v>
      </x:c>
      <x:c r="G784" s="8" t="str">
        <x:v>Analytics Cloud</x:v>
      </x:c>
      <x:c r="H784" s="10" t="n">
        <x:v>14</x:v>
      </x:c>
      <x:c r="I784" s="11" t="n">
        <x:v>1800</x:v>
      </x:c>
      <x:c r="J784" s="12" t="n">
        <x:v>0</x:v>
      </x:c>
      <x:c r="K784" s="11" t="n">
        <x:f>H784*I784*(1-J784)</x:f>
        <x:v>25200</x:v>
      </x:c>
      <x:c r="L784" s="11" t="n">
        <x:f>H784*(I784*0.62)</x:f>
        <x:v>15624</x:v>
      </x:c>
      <x:c r="M784" s="11" t="n">
        <x:f>K784-L784</x:f>
        <x:v>9576</x:v>
      </x:c>
      <x:c r="N784" s="8" t="str">
        <x:v>Direct</x:v>
      </x:c>
      <x:c r="O784" s="8" t="str">
        <x:v>Invoice</x:v>
      </x:c>
      <x:c r="P784" s="8" t="str">
        <x:v>Shipped</x:v>
      </x:c>
    </x:row>
    <x:row r="785">
      <x:c r="A785" s="8" t="str">
        <x:v>ORD-2025784</x:v>
      </x:c>
      <x:c r="B785" s="9" t="n">
        <x:v>45718</x:v>
      </x:c>
      <x:c r="C785" s="8" t="str">
        <x:v>East</x:v>
      </x:c>
      <x:c r="D785" s="8" t="str">
        <x:v>Ethan Garcia</x:v>
      </x:c>
      <x:c r="E785" s="8" t="str">
        <x:v>Harbor Group</x:v>
      </x:c>
      <x:c r="F785" s="8" t="str">
        <x:v>Software</x:v>
      </x:c>
      <x:c r="G785" s="8" t="str">
        <x:v>Analytics Cloud</x:v>
      </x:c>
      <x:c r="H785" s="10" t="n">
        <x:v>10</x:v>
      </x:c>
      <x:c r="I785" s="11" t="n">
        <x:v>1800</x:v>
      </x:c>
      <x:c r="J785" s="12" t="n">
        <x:v>0</x:v>
      </x:c>
      <x:c r="K785" s="11" t="n">
        <x:f>H785*I785*(1-J785)</x:f>
        <x:v>18000</x:v>
      </x:c>
      <x:c r="L785" s="11" t="n">
        <x:f>H785*(I785*0.62)</x:f>
        <x:v>11160</x:v>
      </x:c>
      <x:c r="M785" s="11" t="n">
        <x:f>K785-L785</x:f>
        <x:v>6840</x:v>
      </x:c>
      <x:c r="N785" s="8" t="str">
        <x:v>Partner</x:v>
      </x:c>
      <x:c r="O785" s="8" t="str">
        <x:v>Credit Card</x:v>
      </x:c>
      <x:c r="P785" s="8" t="str">
        <x:v>Shipped</x:v>
      </x:c>
    </x:row>
    <x:row r="786">
      <x:c r="A786" s="8" t="str">
        <x:v>ORD-2025785</x:v>
      </x:c>
      <x:c r="B786" s="9" t="n">
        <x:v>45682</x:v>
      </x:c>
      <x:c r="C786" s="8" t="str">
        <x:v>East</x:v>
      </x:c>
      <x:c r="D786" s="8" t="str">
        <x:v>Ethan Garcia</x:v>
      </x:c>
      <x:c r="E786" s="8" t="str">
        <x:v>Nexus Group</x:v>
      </x:c>
      <x:c r="F786" s="8" t="str">
        <x:v>Hardware</x:v>
      </x:c>
      <x:c r="G786" s="8" t="str">
        <x:v>Monitor 27</x:v>
      </x:c>
      <x:c r="H786" s="10" t="n">
        <x:v>6</x:v>
      </x:c>
      <x:c r="I786" s="11" t="n">
        <x:v>320</x:v>
      </x:c>
      <x:c r="J786" s="12" t="n">
        <x:v>0.2</x:v>
      </x:c>
      <x:c r="K786" s="11" t="n">
        <x:f>H786*I786*(1-J786)</x:f>
        <x:v>1536</x:v>
      </x:c>
      <x:c r="L786" s="11" t="n">
        <x:f>H786*(I786*0.62)</x:f>
        <x:v>1190.4</x:v>
      </x:c>
      <x:c r="M786" s="11" t="n">
        <x:f>K786-L786</x:f>
        <x:v>345.5999999999999</x:v>
      </x:c>
      <x:c r="N786" s="8" t="str">
        <x:v>Online</x:v>
      </x:c>
      <x:c r="O786" s="8" t="str">
        <x:v>PayPal</x:v>
      </x:c>
      <x:c r="P786" s="8" t="str">
        <x:v>Closed Won</x:v>
      </x:c>
    </x:row>
    <x:row r="787">
      <x:c r="A787" s="8" t="str">
        <x:v>ORD-2025786</x:v>
      </x:c>
      <x:c r="B787" s="9" t="n">
        <x:v>45680</x:v>
      </x:c>
      <x:c r="C787" s="8" t="str">
        <x:v>West</x:v>
      </x:c>
      <x:c r="D787" s="8" t="str">
        <x:v>Olivia Wilson</x:v>
      </x:c>
      <x:c r="E787" s="8" t="str">
        <x:v>Ironwood Inc</x:v>
      </x:c>
      <x:c r="F787" s="8" t="str">
        <x:v>Services</x:v>
      </x:c>
      <x:c r="G787" s="8" t="str">
        <x:v>Implementation</x:v>
      </x:c>
      <x:c r="H787" s="10" t="n">
        <x:v>10</x:v>
      </x:c>
      <x:c r="I787" s="11" t="n">
        <x:v>2500</x:v>
      </x:c>
      <x:c r="J787" s="12" t="n">
        <x:v>0.1</x:v>
      </x:c>
      <x:c r="K787" s="11" t="n">
        <x:f>H787*I787*(1-J787)</x:f>
        <x:v>22500</x:v>
      </x:c>
      <x:c r="L787" s="11" t="n">
        <x:f>H787*(I787*0.62)</x:f>
        <x:v>15500</x:v>
      </x:c>
      <x:c r="M787" s="11" t="n">
        <x:f>K787-L787</x:f>
        <x:v>7000</x:v>
      </x:c>
      <x:c r="N787" s="8" t="str">
        <x:v>Partner</x:v>
      </x:c>
      <x:c r="O787" s="8" t="str">
        <x:v>Invoice</x:v>
      </x:c>
      <x:c r="P787" s="8" t="str">
        <x:v>Shipped</x:v>
      </x:c>
    </x:row>
    <x:row r="788">
      <x:c r="A788" s="8" t="str">
        <x:v>ORD-2025787</x:v>
      </x:c>
      <x:c r="B788" s="9" t="n">
        <x:v>45728</x:v>
      </x:c>
      <x:c r="C788" s="8" t="str">
        <x:v>Central</x:v>
      </x:c>
      <x:c r="D788" s="8" t="str">
        <x:v>Olivia Wilson</x:v>
      </x:c>
      <x:c r="E788" s="8" t="str">
        <x:v>GoldenGate Inc</x:v>
      </x:c>
      <x:c r="F788" s="8" t="str">
        <x:v>Accessories</x:v>
      </x:c>
      <x:c r="G788" s="8" t="str">
        <x:v>Keyboard Pro</x:v>
      </x:c>
      <x:c r="H788" s="10" t="n">
        <x:v>22</x:v>
      </x:c>
      <x:c r="I788" s="11" t="n">
        <x:v>95</x:v>
      </x:c>
      <x:c r="J788" s="12" t="n">
        <x:v>0.05</x:v>
      </x:c>
      <x:c r="K788" s="11" t="n">
        <x:f>H788*I788*(1-J788)</x:f>
        <x:v>1985.5</x:v>
      </x:c>
      <x:c r="L788" s="11" t="n">
        <x:f>H788*(I788*0.62)</x:f>
        <x:v>1295.8</x:v>
      </x:c>
      <x:c r="M788" s="11" t="n">
        <x:f>K788-L788</x:f>
        <x:v>689.7</x:v>
      </x:c>
      <x:c r="N788" s="8" t="str">
        <x:v>Direct</x:v>
      </x:c>
      <x:c r="O788" s="8" t="str">
        <x:v>Invoice</x:v>
      </x:c>
      <x:c r="P788" s="8" t="str">
        <x:v>Closed Won</x:v>
      </x:c>
    </x:row>
    <x:row r="789">
      <x:c r="A789" s="8" t="str">
        <x:v>ORD-2025788</x:v>
      </x:c>
      <x:c r="B789" s="9" t="n">
        <x:v>45777</x:v>
      </x:c>
      <x:c r="C789" s="8" t="str">
        <x:v>West</x:v>
      </x:c>
      <x:c r="D789" s="8" t="str">
        <x:v>Sophia Kim</x:v>
      </x:c>
      <x:c r="E789" s="8" t="str">
        <x:v>Maple Inc</x:v>
      </x:c>
      <x:c r="F789" s="8" t="str">
        <x:v>Accessories</x:v>
      </x:c>
      <x:c r="G789" s="8" t="str">
        <x:v>Headset</x:v>
      </x:c>
      <x:c r="H789" s="10" t="n">
        <x:v>2</x:v>
      </x:c>
      <x:c r="I789" s="11" t="n">
        <x:v>85</x:v>
      </x:c>
      <x:c r="J789" s="12" t="n">
        <x:v>0.15</x:v>
      </x:c>
      <x:c r="K789" s="11" t="n">
        <x:f>H789*I789*(1-J789)</x:f>
        <x:v>144.5</x:v>
      </x:c>
      <x:c r="L789" s="11" t="n">
        <x:f>H789*(I789*0.62)</x:f>
        <x:v>105.4</x:v>
      </x:c>
      <x:c r="M789" s="11" t="n">
        <x:f>K789-L789</x:f>
        <x:v>39.099999999999994</x:v>
      </x:c>
      <x:c r="N789" s="8" t="str">
        <x:v>Partner</x:v>
      </x:c>
      <x:c r="O789" s="8" t="str">
        <x:v>Invoice</x:v>
      </x:c>
      <x:c r="P789" s="8" t="str">
        <x:v>Shipped</x:v>
      </x:c>
    </x:row>
    <x:row r="790">
      <x:c r="A790" s="8" t="str">
        <x:v>ORD-2025789</x:v>
      </x:c>
      <x:c r="B790" s="9" t="n">
        <x:v>45950</x:v>
      </x:c>
      <x:c r="C790" s="8" t="str">
        <x:v>East</x:v>
      </x:c>
      <x:c r="D790" s="8" t="str">
        <x:v>Mason Lee</x:v>
      </x:c>
      <x:c r="E790" s="8" t="str">
        <x:v>Pioneer Group</x:v>
      </x:c>
      <x:c r="F790" s="8" t="str">
        <x:v>Hardware</x:v>
      </x:c>
      <x:c r="G790" s="8" t="str">
        <x:v>Laptop X</x:v>
      </x:c>
      <x:c r="H790" s="10" t="n">
        <x:v>21</x:v>
      </x:c>
      <x:c r="I790" s="11" t="n">
        <x:v>1500</x:v>
      </x:c>
      <x:c r="J790" s="12" t="n">
        <x:v>0.1</x:v>
      </x:c>
      <x:c r="K790" s="11" t="n">
        <x:f>H790*I790*(1-J790)</x:f>
        <x:v>28350</x:v>
      </x:c>
      <x:c r="L790" s="11" t="n">
        <x:f>H790*(I790*0.62)</x:f>
        <x:v>19530</x:v>
      </x:c>
      <x:c r="M790" s="11" t="n">
        <x:f>K790-L790</x:f>
        <x:v>8820</x:v>
      </x:c>
      <x:c r="N790" s="8" t="str">
        <x:v>Direct</x:v>
      </x:c>
      <x:c r="O790" s="8" t="str">
        <x:v>Bank Transfer</x:v>
      </x:c>
      <x:c r="P790" s="8" t="str">
        <x:v>Cancelled</x:v>
      </x:c>
    </x:row>
    <x:row r="791">
      <x:c r="A791" s="8" t="str">
        <x:v>ORD-2025790</x:v>
      </x:c>
      <x:c r="B791" s="9" t="n">
        <x:v>45901</x:v>
      </x:c>
      <x:c r="C791" s="8" t="str">
        <x:v>Central</x:v>
      </x:c>
      <x:c r="D791" s="8" t="str">
        <x:v>Ava Patel</x:v>
      </x:c>
      <x:c r="E791" s="8" t="str">
        <x:v>Pioneer Group</x:v>
      </x:c>
      <x:c r="F791" s="8" t="str">
        <x:v>Software</x:v>
      </x:c>
      <x:c r="G791" s="8" t="str">
        <x:v>Analytics Cloud</x:v>
      </x:c>
      <x:c r="H791" s="10" t="n">
        <x:v>22</x:v>
      </x:c>
      <x:c r="I791" s="11" t="n">
        <x:v>1800</x:v>
      </x:c>
      <x:c r="J791" s="12" t="n">
        <x:v>0.1</x:v>
      </x:c>
      <x:c r="K791" s="11" t="n">
        <x:f>H791*I791*(1-J791)</x:f>
        <x:v>35640</x:v>
      </x:c>
      <x:c r="L791" s="11" t="n">
        <x:f>H791*(I791*0.62)</x:f>
        <x:v>24552</x:v>
      </x:c>
      <x:c r="M791" s="11" t="n">
        <x:f>K791-L791</x:f>
        <x:v>11088</x:v>
      </x:c>
      <x:c r="N791" s="8" t="str">
        <x:v>Direct</x:v>
      </x:c>
      <x:c r="O791" s="8" t="str">
        <x:v>Credit Card</x:v>
      </x:c>
      <x:c r="P791" s="8" t="str">
        <x:v>Closed Won</x:v>
      </x:c>
    </x:row>
    <x:row r="792">
      <x:c r="A792" s="8" t="str">
        <x:v>ORD-2025791</x:v>
      </x:c>
      <x:c r="B792" s="9" t="n">
        <x:v>46019</x:v>
      </x:c>
      <x:c r="C792" s="8" t="str">
        <x:v>Central</x:v>
      </x:c>
      <x:c r="D792" s="8" t="str">
        <x:v>Olivia Wilson</x:v>
      </x:c>
      <x:c r="E792" s="8" t="str">
        <x:v>BlueSky Co</x:v>
      </x:c>
      <x:c r="F792" s="8" t="str">
        <x:v>Hardware</x:v>
      </x:c>
      <x:c r="G792" s="8" t="str">
        <x:v>Tablet Air</x:v>
      </x:c>
      <x:c r="H792" s="10" t="n">
        <x:v>18</x:v>
      </x:c>
      <x:c r="I792" s="11" t="n">
        <x:v>820</x:v>
      </x:c>
      <x:c r="J792" s="12" t="n">
        <x:v>0.1</x:v>
      </x:c>
      <x:c r="K792" s="11" t="n">
        <x:f>H792*I792*(1-J792)</x:f>
        <x:v>13284</x:v>
      </x:c>
      <x:c r="L792" s="11" t="n">
        <x:f>H792*(I792*0.62)</x:f>
        <x:v>9151.199999999999</x:v>
      </x:c>
      <x:c r="M792" s="11" t="n">
        <x:f>K792-L792</x:f>
        <x:v>4132.800000000001</x:v>
      </x:c>
      <x:c r="N792" s="8" t="str">
        <x:v>Partner</x:v>
      </x:c>
      <x:c r="O792" s="8" t="str">
        <x:v>PayPal</x:v>
      </x:c>
      <x:c r="P792" s="8" t="str">
        <x:v>Shipped</x:v>
      </x:c>
    </x:row>
    <x:row r="793">
      <x:c r="A793" s="8" t="str">
        <x:v>ORD-2025792</x:v>
      </x:c>
      <x:c r="B793" s="9" t="n">
        <x:v>45832</x:v>
      </x:c>
      <x:c r="C793" s="8" t="str">
        <x:v>West</x:v>
      </x:c>
      <x:c r="D793" s="8" t="str">
        <x:v>Noah Davis</x:v>
      </x:c>
      <x:c r="E793" s="8" t="str">
        <x:v>RedStone Inc</x:v>
      </x:c>
      <x:c r="F793" s="8" t="str">
        <x:v>Accessories</x:v>
      </x:c>
      <x:c r="G793" s="8" t="str">
        <x:v>Wireless Mouse</x:v>
      </x:c>
      <x:c r="H793" s="10" t="n">
        <x:v>1</x:v>
      </x:c>
      <x:c r="I793" s="11" t="n">
        <x:v>40</x:v>
      </x:c>
      <x:c r="J793" s="12" t="n">
        <x:v>0.2</x:v>
      </x:c>
      <x:c r="K793" s="11" t="n">
        <x:f>H793*I793*(1-J793)</x:f>
        <x:v>32</x:v>
      </x:c>
      <x:c r="L793" s="11" t="n">
        <x:f>H793*(I793*0.62)</x:f>
        <x:v>24.8</x:v>
      </x:c>
      <x:c r="M793" s="11" t="n">
        <x:f>K793-L793</x:f>
        <x:v>7.199999999999999</x:v>
      </x:c>
      <x:c r="N793" s="8" t="str">
        <x:v>Online</x:v>
      </x:c>
      <x:c r="O793" s="8" t="str">
        <x:v>Invoice</x:v>
      </x:c>
      <x:c r="P793" s="8" t="str">
        <x:v>Closed Won</x:v>
      </x:c>
    </x:row>
    <x:row r="794">
      <x:c r="A794" s="8" t="str">
        <x:v>ORD-2025793</x:v>
      </x:c>
      <x:c r="B794" s="9" t="n">
        <x:v>45708</x:v>
      </x:c>
      <x:c r="C794" s="8" t="str">
        <x:v>Central</x:v>
      </x:c>
      <x:c r="D794" s="8" t="str">
        <x:v>Noah Davis</x:v>
      </x:c>
      <x:c r="E794" s="8" t="str">
        <x:v>Vertex LLC</x:v>
      </x:c>
      <x:c r="F794" s="8" t="str">
        <x:v>Software</x:v>
      </x:c>
      <x:c r="G794" s="8" t="str">
        <x:v>CRM Pro</x:v>
      </x:c>
      <x:c r="H794" s="10" t="n">
        <x:v>5</x:v>
      </x:c>
      <x:c r="I794" s="11" t="n">
        <x:v>1200</x:v>
      </x:c>
      <x:c r="J794" s="12" t="n">
        <x:v>0</x:v>
      </x:c>
      <x:c r="K794" s="11" t="n">
        <x:f>H794*I794*(1-J794)</x:f>
        <x:v>6000</x:v>
      </x:c>
      <x:c r="L794" s="11" t="n">
        <x:f>H794*(I794*0.62)</x:f>
        <x:v>3720</x:v>
      </x:c>
      <x:c r="M794" s="11" t="n">
        <x:f>K794-L794</x:f>
        <x:v>2280</x:v>
      </x:c>
      <x:c r="N794" s="8" t="str">
        <x:v>Partner</x:v>
      </x:c>
      <x:c r="O794" s="8" t="str">
        <x:v>Credit Card</x:v>
      </x:c>
      <x:c r="P794" s="8" t="str">
        <x:v>Closed Won</x:v>
      </x:c>
    </x:row>
    <x:row r="795">
      <x:c r="A795" s="8" t="str">
        <x:v>ORD-2025794</x:v>
      </x:c>
      <x:c r="B795" s="9" t="n">
        <x:v>45688</x:v>
      </x:c>
      <x:c r="C795" s="8" t="str">
        <x:v>Central</x:v>
      </x:c>
      <x:c r="D795" s="8" t="str">
        <x:v>Sophia Kim</x:v>
      </x:c>
      <x:c r="E795" s="8" t="str">
        <x:v>GreenLeaf Group</x:v>
      </x:c>
      <x:c r="F795" s="8" t="str">
        <x:v>Accessories</x:v>
      </x:c>
      <x:c r="G795" s="8" t="str">
        <x:v>Keyboard Pro</x:v>
      </x:c>
      <x:c r="H795" s="10" t="n">
        <x:v>1</x:v>
      </x:c>
      <x:c r="I795" s="11" t="n">
        <x:v>95</x:v>
      </x:c>
      <x:c r="J795" s="12" t="n">
        <x:v>0.15</x:v>
      </x:c>
      <x:c r="K795" s="11" t="n">
        <x:f>H795*I795*(1-J795)</x:f>
        <x:v>80.75</x:v>
      </x:c>
      <x:c r="L795" s="11" t="n">
        <x:f>H795*(I795*0.62)</x:f>
        <x:v>58.9</x:v>
      </x:c>
      <x:c r="M795" s="11" t="n">
        <x:f>K795-L795</x:f>
        <x:v>21.85</x:v>
      </x:c>
      <x:c r="N795" s="8" t="str">
        <x:v>Direct</x:v>
      </x:c>
      <x:c r="O795" s="8" t="str">
        <x:v>Invoice</x:v>
      </x:c>
      <x:c r="P795" s="8" t="str">
        <x:v>Closed Won</x:v>
      </x:c>
    </x:row>
    <x:row r="796">
      <x:c r="A796" s="8" t="str">
        <x:v>ORD-2025795</x:v>
      </x:c>
      <x:c r="B796" s="9" t="n">
        <x:v>45869</x:v>
      </x:c>
      <x:c r="C796" s="8" t="str">
        <x:v>East</x:v>
      </x:c>
      <x:c r="D796" s="8" t="str">
        <x:v>Ethan Garcia</x:v>
      </x:c>
      <x:c r="E796" s="8" t="str">
        <x:v>SilverLine LLC</x:v>
      </x:c>
      <x:c r="F796" s="8" t="str">
        <x:v>Services</x:v>
      </x:c>
      <x:c r="G796" s="8" t="str">
        <x:v>Training</x:v>
      </x:c>
      <x:c r="H796" s="10" t="n">
        <x:v>4</x:v>
      </x:c>
      <x:c r="I796" s="11" t="n">
        <x:v>900</x:v>
      </x:c>
      <x:c r="J796" s="12" t="n">
        <x:v>0</x:v>
      </x:c>
      <x:c r="K796" s="11" t="n">
        <x:f>H796*I796*(1-J796)</x:f>
        <x:v>3600</x:v>
      </x:c>
      <x:c r="L796" s="11" t="n">
        <x:f>H796*(I796*0.62)</x:f>
        <x:v>2232</x:v>
      </x:c>
      <x:c r="M796" s="11" t="n">
        <x:f>K796-L796</x:f>
        <x:v>1368</x:v>
      </x:c>
      <x:c r="N796" s="8" t="str">
        <x:v>Direct</x:v>
      </x:c>
      <x:c r="O796" s="8" t="str">
        <x:v>Bank Transfer</x:v>
      </x:c>
      <x:c r="P796" s="8" t="str">
        <x:v>Shipped</x:v>
      </x:c>
    </x:row>
    <x:row r="797">
      <x:c r="A797" s="8" t="str">
        <x:v>ORD-2025796</x:v>
      </x:c>
      <x:c r="B797" s="9" t="n">
        <x:v>45918</x:v>
      </x:c>
      <x:c r="C797" s="8" t="str">
        <x:v>Central</x:v>
      </x:c>
      <x:c r="D797" s="8" t="str">
        <x:v>Lucas Brown</x:v>
      </x:c>
      <x:c r="E797" s="8" t="str">
        <x:v>Pioneer Co</x:v>
      </x:c>
      <x:c r="F797" s="8" t="str">
        <x:v>Hardware</x:v>
      </x:c>
      <x:c r="G797" s="8" t="str">
        <x:v>Monitor 27</x:v>
      </x:c>
      <x:c r="H797" s="10" t="n">
        <x:v>9</x:v>
      </x:c>
      <x:c r="I797" s="11" t="n">
        <x:v>320</x:v>
      </x:c>
      <x:c r="J797" s="12" t="n">
        <x:v>0</x:v>
      </x:c>
      <x:c r="K797" s="11" t="n">
        <x:f>H797*I797*(1-J797)</x:f>
        <x:v>2880</x:v>
      </x:c>
      <x:c r="L797" s="11" t="n">
        <x:f>H797*(I797*0.62)</x:f>
        <x:v>1785.6000000000001</x:v>
      </x:c>
      <x:c r="M797" s="11" t="n">
        <x:f>K797-L797</x:f>
        <x:v>1094.3999999999999</x:v>
      </x:c>
      <x:c r="N797" s="8" t="str">
        <x:v>Partner</x:v>
      </x:c>
      <x:c r="O797" s="8" t="str">
        <x:v>PayPal</x:v>
      </x:c>
      <x:c r="P797" s="8" t="str">
        <x:v>Shipped</x:v>
      </x:c>
    </x:row>
    <x:row r="798">
      <x:c r="A798" s="8" t="str">
        <x:v>ORD-2025797</x:v>
      </x:c>
      <x:c r="B798" s="9" t="n">
        <x:v>45672</x:v>
      </x:c>
      <x:c r="C798" s="8" t="str">
        <x:v>West</x:v>
      </x:c>
      <x:c r="D798" s="8" t="str">
        <x:v>Mia Johnson</x:v>
      </x:c>
      <x:c r="E798" s="8" t="str">
        <x:v>Acme Co</x:v>
      </x:c>
      <x:c r="F798" s="8" t="str">
        <x:v>Software</x:v>
      </x:c>
      <x:c r="G798" s="8" t="str">
        <x:v>ProjectFlow</x:v>
      </x:c>
      <x:c r="H798" s="10" t="n">
        <x:v>9</x:v>
      </x:c>
      <x:c r="I798" s="11" t="n">
        <x:v>700</x:v>
      </x:c>
      <x:c r="J798" s="12" t="n">
        <x:v>0.1</x:v>
      </x:c>
      <x:c r="K798" s="11" t="n">
        <x:f>H798*I798*(1-J798)</x:f>
        <x:v>5670</x:v>
      </x:c>
      <x:c r="L798" s="11" t="n">
        <x:f>H798*(I798*0.62)</x:f>
        <x:v>3906</x:v>
      </x:c>
      <x:c r="M798" s="11" t="n">
        <x:f>K798-L798</x:f>
        <x:v>1764</x:v>
      </x:c>
      <x:c r="N798" s="8" t="str">
        <x:v>Online</x:v>
      </x:c>
      <x:c r="O798" s="8" t="str">
        <x:v>Credit Card</x:v>
      </x:c>
      <x:c r="P798" s="8" t="str">
        <x:v>Closed Won</x:v>
      </x:c>
    </x:row>
    <x:row r="799">
      <x:c r="A799" s="8" t="str">
        <x:v>ORD-2025798</x:v>
      </x:c>
      <x:c r="B799" s="9" t="n">
        <x:v>45948</x:v>
      </x:c>
      <x:c r="C799" s="8" t="str">
        <x:v>West</x:v>
      </x:c>
      <x:c r="D799" s="8" t="str">
        <x:v>Olivia Wilson</x:v>
      </x:c>
      <x:c r="E799" s="8" t="str">
        <x:v>BlueSky Co</x:v>
      </x:c>
      <x:c r="F799" s="8" t="str">
        <x:v>Hardware</x:v>
      </x:c>
      <x:c r="G799" s="8" t="str">
        <x:v>Dock Station</x:v>
      </x:c>
      <x:c r="H799" s="10" t="n">
        <x:v>21</x:v>
      </x:c>
      <x:c r="I799" s="11" t="n">
        <x:v>180</x:v>
      </x:c>
      <x:c r="J799" s="12" t="n">
        <x:v>0.1</x:v>
      </x:c>
      <x:c r="K799" s="11" t="n">
        <x:f>H799*I799*(1-J799)</x:f>
        <x:v>3402</x:v>
      </x:c>
      <x:c r="L799" s="11" t="n">
        <x:f>H799*(I799*0.62)</x:f>
        <x:v>2343.6</x:v>
      </x:c>
      <x:c r="M799" s="11" t="n">
        <x:f>K799-L799</x:f>
        <x:v>1058.4</x:v>
      </x:c>
      <x:c r="N799" s="8" t="str">
        <x:v>Direct</x:v>
      </x:c>
      <x:c r="O799" s="8" t="str">
        <x:v>Bank Transfer</x:v>
      </x:c>
      <x:c r="P799" s="8" t="str">
        <x:v>Closed Won</x:v>
      </x:c>
    </x:row>
    <x:row r="800">
      <x:c r="A800" s="8" t="str">
        <x:v>ORD-2025799</x:v>
      </x:c>
      <x:c r="B800" s="9" t="n">
        <x:v>45933</x:v>
      </x:c>
      <x:c r="C800" s="8" t="str">
        <x:v>West</x:v>
      </x:c>
      <x:c r="D800" s="8" t="str">
        <x:v>Mason Lee</x:v>
      </x:c>
      <x:c r="E800" s="8" t="str">
        <x:v>GoldenGate Inc</x:v>
      </x:c>
      <x:c r="F800" s="8" t="str">
        <x:v>Hardware</x:v>
      </x:c>
      <x:c r="G800" s="8" t="str">
        <x:v>Tablet Air</x:v>
      </x:c>
      <x:c r="H800" s="10" t="n">
        <x:v>2</x:v>
      </x:c>
      <x:c r="I800" s="11" t="n">
        <x:v>820</x:v>
      </x:c>
      <x:c r="J800" s="12" t="n">
        <x:v>0</x:v>
      </x:c>
      <x:c r="K800" s="11" t="n">
        <x:f>H800*I800*(1-J800)</x:f>
        <x:v>1640</x:v>
      </x:c>
      <x:c r="L800" s="11" t="n">
        <x:f>H800*(I800*0.62)</x:f>
        <x:v>1016.8</x:v>
      </x:c>
      <x:c r="M800" s="11" t="n">
        <x:f>K800-L800</x:f>
        <x:v>623.2</x:v>
      </x:c>
      <x:c r="N800" s="8" t="str">
        <x:v>Partner</x:v>
      </x:c>
      <x:c r="O800" s="8" t="str">
        <x:v>Invoice</x:v>
      </x:c>
      <x:c r="P800" s="8" t="str">
        <x:v>Shipped</x:v>
      </x:c>
    </x:row>
    <x:row r="801">
      <x:c r="A801" s="8" t="str">
        <x:v>ORD-2025800</x:v>
      </x:c>
      <x:c r="B801" s="9" t="n">
        <x:v>45688</x:v>
      </x:c>
      <x:c r="C801" s="8" t="str">
        <x:v>West</x:v>
      </x:c>
      <x:c r="D801" s="8" t="str">
        <x:v>Ethan Garcia</x:v>
      </x:c>
      <x:c r="E801" s="8" t="str">
        <x:v>Nova LLC</x:v>
      </x:c>
      <x:c r="F801" s="8" t="str">
        <x:v>Hardware</x:v>
      </x:c>
      <x:c r="G801" s="8" t="str">
        <x:v>Laptop X</x:v>
      </x:c>
      <x:c r="H801" s="10" t="n">
        <x:v>9</x:v>
      </x:c>
      <x:c r="I801" s="11" t="n">
        <x:v>1500</x:v>
      </x:c>
      <x:c r="J801" s="12" t="n">
        <x:v>0.2</x:v>
      </x:c>
      <x:c r="K801" s="11" t="n">
        <x:f>H801*I801*(1-J801)</x:f>
        <x:v>10800</x:v>
      </x:c>
      <x:c r="L801" s="11" t="n">
        <x:f>H801*(I801*0.62)</x:f>
        <x:v>8370</x:v>
      </x:c>
      <x:c r="M801" s="11" t="n">
        <x:f>K801-L801</x:f>
        <x:v>2430</x:v>
      </x:c>
      <x:c r="N801" s="8" t="str">
        <x:v>Online</x:v>
      </x:c>
      <x:c r="O801" s="8" t="str">
        <x:v>PayPal</x:v>
      </x:c>
      <x:c r="P801" s="8" t="str">
        <x:v>Cancelled</x:v>
      </x:c>
    </x:row>
    <x:row r="802">
      <x:c r="A802" s="8" t="str">
        <x:v>ORD-2025801</x:v>
      </x:c>
      <x:c r="B802" s="9" t="n">
        <x:v>45681</x:v>
      </x:c>
      <x:c r="C802" s="8" t="str">
        <x:v>South</x:v>
      </x:c>
      <x:c r="D802" s="8" t="str">
        <x:v>Mason Lee</x:v>
      </x:c>
      <x:c r="E802" s="8" t="str">
        <x:v>Ironwood LLC</x:v>
      </x:c>
      <x:c r="F802" s="8" t="str">
        <x:v>Hardware</x:v>
      </x:c>
      <x:c r="G802" s="8" t="str">
        <x:v>Dock Station</x:v>
      </x:c>
      <x:c r="H802" s="10" t="n">
        <x:v>3</x:v>
      </x:c>
      <x:c r="I802" s="11" t="n">
        <x:v>180</x:v>
      </x:c>
      <x:c r="J802" s="12" t="n">
        <x:v>0</x:v>
      </x:c>
      <x:c r="K802" s="11" t="n">
        <x:f>H802*I802*(1-J802)</x:f>
        <x:v>540</x:v>
      </x:c>
      <x:c r="L802" s="11" t="n">
        <x:f>H802*(I802*0.62)</x:f>
        <x:v>334.79999999999995</x:v>
      </x:c>
      <x:c r="M802" s="11" t="n">
        <x:f>K802-L802</x:f>
        <x:v>205.20000000000005</x:v>
      </x:c>
      <x:c r="N802" s="8" t="str">
        <x:v>Direct</x:v>
      </x:c>
      <x:c r="O802" s="8" t="str">
        <x:v>PayPal</x:v>
      </x:c>
      <x:c r="P802" s="8" t="str">
        <x:v>Shipped</x:v>
      </x:c>
    </x:row>
    <x:row r="803">
      <x:c r="A803" s="8" t="str">
        <x:v>ORD-2025802</x:v>
      </x:c>
      <x:c r="B803" s="9" t="n">
        <x:v>45879</x:v>
      </x:c>
      <x:c r="C803" s="8" t="str">
        <x:v>South</x:v>
      </x:c>
      <x:c r="D803" s="8" t="str">
        <x:v>Emma Martin</x:v>
      </x:c>
      <x:c r="E803" s="8" t="str">
        <x:v>Southridge LLC</x:v>
      </x:c>
      <x:c r="F803" s="8" t="str">
        <x:v>Hardware</x:v>
      </x:c>
      <x:c r="G803" s="8" t="str">
        <x:v>Dock Station</x:v>
      </x:c>
      <x:c r="H803" s="10" t="n">
        <x:v>11</x:v>
      </x:c>
      <x:c r="I803" s="11" t="n">
        <x:v>180</x:v>
      </x:c>
      <x:c r="J803" s="12" t="n">
        <x:v>0.15</x:v>
      </x:c>
      <x:c r="K803" s="11" t="n">
        <x:f>H803*I803*(1-J803)</x:f>
        <x:v>1683</x:v>
      </x:c>
      <x:c r="L803" s="11" t="n">
        <x:f>H803*(I803*0.62)</x:f>
        <x:v>1227.6</x:v>
      </x:c>
      <x:c r="M803" s="11" t="n">
        <x:f>K803-L803</x:f>
        <x:v>455.4000000000001</x:v>
      </x:c>
      <x:c r="N803" s="8" t="str">
        <x:v>Partner</x:v>
      </x:c>
      <x:c r="O803" s="8" t="str">
        <x:v>Invoice</x:v>
      </x:c>
      <x:c r="P803" s="8" t="str">
        <x:v>Cancelled</x:v>
      </x:c>
    </x:row>
    <x:row r="804">
      <x:c r="A804" s="8" t="str">
        <x:v>ORD-2025803</x:v>
      </x:c>
      <x:c r="B804" s="9" t="n">
        <x:v>45783</x:v>
      </x:c>
      <x:c r="C804" s="8" t="str">
        <x:v>East</x:v>
      </x:c>
      <x:c r="D804" s="8" t="str">
        <x:v>Sophia Kim</x:v>
      </x:c>
      <x:c r="E804" s="8" t="str">
        <x:v>Nexus Co</x:v>
      </x:c>
      <x:c r="F804" s="8" t="str">
        <x:v>Accessories</x:v>
      </x:c>
      <x:c r="G804" s="8" t="str">
        <x:v>Webcam HD</x:v>
      </x:c>
      <x:c r="H804" s="10" t="n">
        <x:v>15</x:v>
      </x:c>
      <x:c r="I804" s="11" t="n">
        <x:v>110</x:v>
      </x:c>
      <x:c r="J804" s="12" t="n">
        <x:v>0.1</x:v>
      </x:c>
      <x:c r="K804" s="11" t="n">
        <x:f>H804*I804*(1-J804)</x:f>
        <x:v>1485</x:v>
      </x:c>
      <x:c r="L804" s="11" t="n">
        <x:f>H804*(I804*0.62)</x:f>
        <x:v>1023</x:v>
      </x:c>
      <x:c r="M804" s="11" t="n">
        <x:f>K804-L804</x:f>
        <x:v>462</x:v>
      </x:c>
      <x:c r="N804" s="8" t="str">
        <x:v>Partner</x:v>
      </x:c>
      <x:c r="O804" s="8" t="str">
        <x:v>Credit Card</x:v>
      </x:c>
      <x:c r="P804" s="8" t="str">
        <x:v>Cancelled</x:v>
      </x:c>
    </x:row>
    <x:row r="805">
      <x:c r="A805" s="8" t="str">
        <x:v>ORD-2025804</x:v>
      </x:c>
      <x:c r="B805" s="9" t="n">
        <x:v>45969</x:v>
      </x:c>
      <x:c r="C805" s="8" t="str">
        <x:v>West</x:v>
      </x:c>
      <x:c r="D805" s="8" t="str">
        <x:v>Ava Patel</x:v>
      </x:c>
      <x:c r="E805" s="8" t="str">
        <x:v>Acme Inc</x:v>
      </x:c>
      <x:c r="F805" s="8" t="str">
        <x:v>Hardware</x:v>
      </x:c>
      <x:c r="G805" s="8" t="str">
        <x:v>Laptop X</x:v>
      </x:c>
      <x:c r="H805" s="10" t="n">
        <x:v>22</x:v>
      </x:c>
      <x:c r="I805" s="11" t="n">
        <x:v>1500</x:v>
      </x:c>
      <x:c r="J805" s="12" t="n">
        <x:v>0</x:v>
      </x:c>
      <x:c r="K805" s="11" t="n">
        <x:f>H805*I805*(1-J805)</x:f>
        <x:v>33000</x:v>
      </x:c>
      <x:c r="L805" s="11" t="n">
        <x:f>H805*(I805*0.62)</x:f>
        <x:v>20460</x:v>
      </x:c>
      <x:c r="M805" s="11" t="n">
        <x:f>K805-L805</x:f>
        <x:v>12540</x:v>
      </x:c>
      <x:c r="N805" s="8" t="str">
        <x:v>Partner</x:v>
      </x:c>
      <x:c r="O805" s="8" t="str">
        <x:v>PayPal</x:v>
      </x:c>
      <x:c r="P805" s="8" t="str">
        <x:v>Shipped</x:v>
      </x:c>
    </x:row>
    <x:row r="806">
      <x:c r="A806" s="8" t="str">
        <x:v>ORD-2025805</x:v>
      </x:c>
      <x:c r="B806" s="9" t="n">
        <x:v>45933</x:v>
      </x:c>
      <x:c r="C806" s="8" t="str">
        <x:v>North</x:v>
      </x:c>
      <x:c r="D806" s="8" t="str">
        <x:v>Olivia Wilson</x:v>
      </x:c>
      <x:c r="E806" s="8" t="str">
        <x:v>Pioneer Group</x:v>
      </x:c>
      <x:c r="F806" s="8" t="str">
        <x:v>Software</x:v>
      </x:c>
      <x:c r="G806" s="8" t="str">
        <x:v>CRM Pro</x:v>
      </x:c>
      <x:c r="H806" s="10" t="n">
        <x:v>12</x:v>
      </x:c>
      <x:c r="I806" s="11" t="n">
        <x:v>1200</x:v>
      </x:c>
      <x:c r="J806" s="12" t="n">
        <x:v>0.2</x:v>
      </x:c>
      <x:c r="K806" s="11" t="n">
        <x:f>H806*I806*(1-J806)</x:f>
        <x:v>11520</x:v>
      </x:c>
      <x:c r="L806" s="11" t="n">
        <x:f>H806*(I806*0.62)</x:f>
        <x:v>8928</x:v>
      </x:c>
      <x:c r="M806" s="11" t="n">
        <x:f>K806-L806</x:f>
        <x:v>2592</x:v>
      </x:c>
      <x:c r="N806" s="8" t="str">
        <x:v>Partner</x:v>
      </x:c>
      <x:c r="O806" s="8" t="str">
        <x:v>Invoice</x:v>
      </x:c>
      <x:c r="P806" s="8" t="str">
        <x:v>Closed Won</x:v>
      </x:c>
    </x:row>
    <x:row r="807">
      <x:c r="A807" s="8" t="str">
        <x:v>ORD-2025806</x:v>
      </x:c>
      <x:c r="B807" s="9" t="n">
        <x:v>45894</x:v>
      </x:c>
      <x:c r="C807" s="8" t="str">
        <x:v>East</x:v>
      </x:c>
      <x:c r="D807" s="8" t="str">
        <x:v>Mia Johnson</x:v>
      </x:c>
      <x:c r="E807" s="8" t="str">
        <x:v>GoldenGate LLC</x:v>
      </x:c>
      <x:c r="F807" s="8" t="str">
        <x:v>Software</x:v>
      </x:c>
      <x:c r="G807" s="8" t="str">
        <x:v>CRM Pro</x:v>
      </x:c>
      <x:c r="H807" s="10" t="n">
        <x:v>1</x:v>
      </x:c>
      <x:c r="I807" s="11" t="n">
        <x:v>1200</x:v>
      </x:c>
      <x:c r="J807" s="12" t="n">
        <x:v>0</x:v>
      </x:c>
      <x:c r="K807" s="11" t="n">
        <x:f>H807*I807*(1-J807)</x:f>
        <x:v>1200</x:v>
      </x:c>
      <x:c r="L807" s="11" t="n">
        <x:f>H807*(I807*0.62)</x:f>
        <x:v>744</x:v>
      </x:c>
      <x:c r="M807" s="11" t="n">
        <x:f>K807-L807</x:f>
        <x:v>456</x:v>
      </x:c>
      <x:c r="N807" s="8" t="str">
        <x:v>Online</x:v>
      </x:c>
      <x:c r="O807" s="8" t="str">
        <x:v>Credit Card</x:v>
      </x:c>
      <x:c r="P807" s="8" t="str">
        <x:v>Shipped</x:v>
      </x:c>
    </x:row>
    <x:row r="808">
      <x:c r="A808" s="8" t="str">
        <x:v>ORD-2025807</x:v>
      </x:c>
      <x:c r="B808" s="9" t="n">
        <x:v>45704</x:v>
      </x:c>
      <x:c r="C808" s="8" t="str">
        <x:v>Central</x:v>
      </x:c>
      <x:c r="D808" s="8" t="str">
        <x:v>Ethan Garcia</x:v>
      </x:c>
      <x:c r="E808" s="8" t="str">
        <x:v>Cedar LLC</x:v>
      </x:c>
      <x:c r="F808" s="8" t="str">
        <x:v>Services</x:v>
      </x:c>
      <x:c r="G808" s="8" t="str">
        <x:v>Training</x:v>
      </x:c>
      <x:c r="H808" s="10" t="n">
        <x:v>8</x:v>
      </x:c>
      <x:c r="I808" s="11" t="n">
        <x:v>900</x:v>
      </x:c>
      <x:c r="J808" s="12" t="n">
        <x:v>0.05</x:v>
      </x:c>
      <x:c r="K808" s="11" t="n">
        <x:f>H808*I808*(1-J808)</x:f>
        <x:v>6840</x:v>
      </x:c>
      <x:c r="L808" s="11" t="n">
        <x:f>H808*(I808*0.62)</x:f>
        <x:v>4464</x:v>
      </x:c>
      <x:c r="M808" s="11" t="n">
        <x:f>K808-L808</x:f>
        <x:v>2376</x:v>
      </x:c>
      <x:c r="N808" s="8" t="str">
        <x:v>Partner</x:v>
      </x:c>
      <x:c r="O808" s="8" t="str">
        <x:v>Credit Card</x:v>
      </x:c>
      <x:c r="P808" s="8" t="str">
        <x:v>Closed Won</x:v>
      </x:c>
    </x:row>
    <x:row r="809">
      <x:c r="A809" s="8" t="str">
        <x:v>ORD-2025808</x:v>
      </x:c>
      <x:c r="B809" s="9" t="n">
        <x:v>45758</x:v>
      </x:c>
      <x:c r="C809" s="8" t="str">
        <x:v>West</x:v>
      </x:c>
      <x:c r="D809" s="8" t="str">
        <x:v>Liam Chen</x:v>
      </x:c>
      <x:c r="E809" s="8" t="str">
        <x:v>Prime Group</x:v>
      </x:c>
      <x:c r="F809" s="8" t="str">
        <x:v>Hardware</x:v>
      </x:c>
      <x:c r="G809" s="8" t="str">
        <x:v>Laptop X</x:v>
      </x:c>
      <x:c r="H809" s="10" t="n">
        <x:v>19</x:v>
      </x:c>
      <x:c r="I809" s="11" t="n">
        <x:v>1500</x:v>
      </x:c>
      <x:c r="J809" s="12" t="n">
        <x:v>0.1</x:v>
      </x:c>
      <x:c r="K809" s="11" t="n">
        <x:f>H809*I809*(1-J809)</x:f>
        <x:v>25650</x:v>
      </x:c>
      <x:c r="L809" s="11" t="n">
        <x:f>H809*(I809*0.62)</x:f>
        <x:v>17670</x:v>
      </x:c>
      <x:c r="M809" s="11" t="n">
        <x:f>K809-L809</x:f>
        <x:v>7980</x:v>
      </x:c>
      <x:c r="N809" s="8" t="str">
        <x:v>Partner</x:v>
      </x:c>
      <x:c r="O809" s="8" t="str">
        <x:v>Bank Transfer</x:v>
      </x:c>
      <x:c r="P809" s="8" t="str">
        <x:v>Shipped</x:v>
      </x:c>
    </x:row>
    <x:row r="810">
      <x:c r="A810" s="8" t="str">
        <x:v>ORD-2025809</x:v>
      </x:c>
      <x:c r="B810" s="9" t="n">
        <x:v>45959</x:v>
      </x:c>
      <x:c r="C810" s="8" t="str">
        <x:v>South</x:v>
      </x:c>
      <x:c r="D810" s="8" t="str">
        <x:v>Liam Chen</x:v>
      </x:c>
      <x:c r="E810" s="8" t="str">
        <x:v>Urban LLC</x:v>
      </x:c>
      <x:c r="F810" s="8" t="str">
        <x:v>Hardware</x:v>
      </x:c>
      <x:c r="G810" s="8" t="str">
        <x:v>Laptop X</x:v>
      </x:c>
      <x:c r="H810" s="10" t="n">
        <x:v>9</x:v>
      </x:c>
      <x:c r="I810" s="11" t="n">
        <x:v>1500</x:v>
      </x:c>
      <x:c r="J810" s="12" t="n">
        <x:v>0.1</x:v>
      </x:c>
      <x:c r="K810" s="11" t="n">
        <x:f>H810*I810*(1-J810)</x:f>
        <x:v>12150</x:v>
      </x:c>
      <x:c r="L810" s="11" t="n">
        <x:f>H810*(I810*0.62)</x:f>
        <x:v>8370</x:v>
      </x:c>
      <x:c r="M810" s="11" t="n">
        <x:f>K810-L810</x:f>
        <x:v>3780</x:v>
      </x:c>
      <x:c r="N810" s="8" t="str">
        <x:v>Direct</x:v>
      </x:c>
      <x:c r="O810" s="8" t="str">
        <x:v>Invoice</x:v>
      </x:c>
      <x:c r="P810" s="8" t="str">
        <x:v>Closed Won</x:v>
      </x:c>
    </x:row>
    <x:row r="811">
      <x:c r="A811" s="8" t="str">
        <x:v>ORD-2025810</x:v>
      </x:c>
      <x:c r="B811" s="9" t="n">
        <x:v>46006</x:v>
      </x:c>
      <x:c r="C811" s="8" t="str">
        <x:v>Central</x:v>
      </x:c>
      <x:c r="D811" s="8" t="str">
        <x:v>Olivia Wilson</x:v>
      </x:c>
      <x:c r="E811" s="8" t="str">
        <x:v>Acme LLC</x:v>
      </x:c>
      <x:c r="F811" s="8" t="str">
        <x:v>Software</x:v>
      </x:c>
      <x:c r="G811" s="8" t="str">
        <x:v>HR Suite</x:v>
      </x:c>
      <x:c r="H811" s="10" t="n">
        <x:v>14</x:v>
      </x:c>
      <x:c r="I811" s="11" t="n">
        <x:v>950</x:v>
      </x:c>
      <x:c r="J811" s="12" t="n">
        <x:v>0.15</x:v>
      </x:c>
      <x:c r="K811" s="11" t="n">
        <x:f>H811*I811*(1-J811)</x:f>
        <x:v>11305</x:v>
      </x:c>
      <x:c r="L811" s="11" t="n">
        <x:f>H811*(I811*0.62)</x:f>
        <x:v>8246</x:v>
      </x:c>
      <x:c r="M811" s="11" t="n">
        <x:f>K811-L811</x:f>
        <x:v>3059</x:v>
      </x:c>
      <x:c r="N811" s="8" t="str">
        <x:v>Online</x:v>
      </x:c>
      <x:c r="O811" s="8" t="str">
        <x:v>Credit Card</x:v>
      </x:c>
      <x:c r="P811" s="8" t="str">
        <x:v>Returned</x:v>
      </x:c>
    </x:row>
    <x:row r="812">
      <x:c r="A812" s="8" t="str">
        <x:v>ORD-2025811</x:v>
      </x:c>
      <x:c r="B812" s="9" t="n">
        <x:v>45866</x:v>
      </x:c>
      <x:c r="C812" s="8" t="str">
        <x:v>East</x:v>
      </x:c>
      <x:c r="D812" s="8" t="str">
        <x:v>Liam Chen</x:v>
      </x:c>
      <x:c r="E812" s="8" t="str">
        <x:v>Southridge Co</x:v>
      </x:c>
      <x:c r="F812" s="8" t="str">
        <x:v>Services</x:v>
      </x:c>
      <x:c r="G812" s="8" t="str">
        <x:v>Consulting Day</x:v>
      </x:c>
      <x:c r="H812" s="10" t="n">
        <x:v>15</x:v>
      </x:c>
      <x:c r="I812" s="11" t="n">
        <x:v>1400</x:v>
      </x:c>
      <x:c r="J812" s="12" t="n">
        <x:v>0.05</x:v>
      </x:c>
      <x:c r="K812" s="11" t="n">
        <x:f>H812*I812*(1-J812)</x:f>
        <x:v>19950</x:v>
      </x:c>
      <x:c r="L812" s="11" t="n">
        <x:f>H812*(I812*0.62)</x:f>
        <x:v>13020</x:v>
      </x:c>
      <x:c r="M812" s="11" t="n">
        <x:f>K812-L812</x:f>
        <x:v>6930</x:v>
      </x:c>
      <x:c r="N812" s="8" t="str">
        <x:v>Partner</x:v>
      </x:c>
      <x:c r="O812" s="8" t="str">
        <x:v>Credit Card</x:v>
      </x:c>
      <x:c r="P812" s="8" t="str">
        <x:v>Cancelled</x:v>
      </x:c>
    </x:row>
    <x:row r="813">
      <x:c r="A813" s="8" t="str">
        <x:v>ORD-2025812</x:v>
      </x:c>
      <x:c r="B813" s="9" t="n">
        <x:v>45800</x:v>
      </x:c>
      <x:c r="C813" s="8" t="str">
        <x:v>West</x:v>
      </x:c>
      <x:c r="D813" s="8" t="str">
        <x:v>Mason Lee</x:v>
      </x:c>
      <x:c r="E813" s="8" t="str">
        <x:v>GoldenGate Inc</x:v>
      </x:c>
      <x:c r="F813" s="8" t="str">
        <x:v>Hardware</x:v>
      </x:c>
      <x:c r="G813" s="8" t="str">
        <x:v>Laptop X</x:v>
      </x:c>
      <x:c r="H813" s="10" t="n">
        <x:v>11</x:v>
      </x:c>
      <x:c r="I813" s="11" t="n">
        <x:v>1500</x:v>
      </x:c>
      <x:c r="J813" s="12" t="n">
        <x:v>0</x:v>
      </x:c>
      <x:c r="K813" s="11" t="n">
        <x:f>H813*I813*(1-J813)</x:f>
        <x:v>16500</x:v>
      </x:c>
      <x:c r="L813" s="11" t="n">
        <x:f>H813*(I813*0.62)</x:f>
        <x:v>10230</x:v>
      </x:c>
      <x:c r="M813" s="11" t="n">
        <x:f>K813-L813</x:f>
        <x:v>6270</x:v>
      </x:c>
      <x:c r="N813" s="8" t="str">
        <x:v>Partner</x:v>
      </x:c>
      <x:c r="O813" s="8" t="str">
        <x:v>Bank Transfer</x:v>
      </x:c>
      <x:c r="P813" s="8" t="str">
        <x:v>Closed Won</x:v>
      </x:c>
    </x:row>
    <x:row r="814">
      <x:c r="A814" s="8" t="str">
        <x:v>ORD-2025813</x:v>
      </x:c>
      <x:c r="B814" s="9" t="n">
        <x:v>46011</x:v>
      </x:c>
      <x:c r="C814" s="8" t="str">
        <x:v>West</x:v>
      </x:c>
      <x:c r="D814" s="8" t="str">
        <x:v>Liam Chen</x:v>
      </x:c>
      <x:c r="E814" s="8" t="str">
        <x:v>Cedar Group</x:v>
      </x:c>
      <x:c r="F814" s="8" t="str">
        <x:v>Software</x:v>
      </x:c>
      <x:c r="G814" s="8" t="str">
        <x:v>Analytics Cloud</x:v>
      </x:c>
      <x:c r="H814" s="10" t="n">
        <x:v>7</x:v>
      </x:c>
      <x:c r="I814" s="11" t="n">
        <x:v>1800</x:v>
      </x:c>
      <x:c r="J814" s="12" t="n">
        <x:v>0</x:v>
      </x:c>
      <x:c r="K814" s="11" t="n">
        <x:f>H814*I814*(1-J814)</x:f>
        <x:v>12600</x:v>
      </x:c>
      <x:c r="L814" s="11" t="n">
        <x:f>H814*(I814*0.62)</x:f>
        <x:v>7812</x:v>
      </x:c>
      <x:c r="M814" s="11" t="n">
        <x:f>K814-L814</x:f>
        <x:v>4788</x:v>
      </x:c>
      <x:c r="N814" s="8" t="str">
        <x:v>Partner</x:v>
      </x:c>
      <x:c r="O814" s="8" t="str">
        <x:v>Invoice</x:v>
      </x:c>
      <x:c r="P814" s="8" t="str">
        <x:v>Closed Won</x:v>
      </x:c>
    </x:row>
    <x:row r="815">
      <x:c r="A815" s="8" t="str">
        <x:v>ORD-2025814</x:v>
      </x:c>
      <x:c r="B815" s="9" t="n">
        <x:v>45903</x:v>
      </x:c>
      <x:c r="C815" s="8" t="str">
        <x:v>West</x:v>
      </x:c>
      <x:c r="D815" s="8" t="str">
        <x:v>Ava Patel</x:v>
      </x:c>
      <x:c r="E815" s="8" t="str">
        <x:v>Ironwood Group</x:v>
      </x:c>
      <x:c r="F815" s="8" t="str">
        <x:v>Software</x:v>
      </x:c>
      <x:c r="G815" s="8" t="str">
        <x:v>CRM Pro</x:v>
      </x:c>
      <x:c r="H815" s="10" t="n">
        <x:v>21</x:v>
      </x:c>
      <x:c r="I815" s="11" t="n">
        <x:v>1200</x:v>
      </x:c>
      <x:c r="J815" s="12" t="n">
        <x:v>0</x:v>
      </x:c>
      <x:c r="K815" s="11" t="n">
        <x:f>H815*I815*(1-J815)</x:f>
        <x:v>25200</x:v>
      </x:c>
      <x:c r="L815" s="11" t="n">
        <x:f>H815*(I815*0.62)</x:f>
        <x:v>15624</x:v>
      </x:c>
      <x:c r="M815" s="11" t="n">
        <x:f>K815-L815</x:f>
        <x:v>9576</x:v>
      </x:c>
      <x:c r="N815" s="8" t="str">
        <x:v>Partner</x:v>
      </x:c>
      <x:c r="O815" s="8" t="str">
        <x:v>Bank Transfer</x:v>
      </x:c>
      <x:c r="P815" s="8" t="str">
        <x:v>Closed Won</x:v>
      </x:c>
    </x:row>
    <x:row r="816">
      <x:c r="A816" s="8" t="str">
        <x:v>ORD-2025815</x:v>
      </x:c>
      <x:c r="B816" s="9" t="n">
        <x:v>45685</x:v>
      </x:c>
      <x:c r="C816" s="8" t="str">
        <x:v>East</x:v>
      </x:c>
      <x:c r="D816" s="8" t="str">
        <x:v>Mason Lee</x:v>
      </x:c>
      <x:c r="E816" s="8" t="str">
        <x:v>Cedar Co</x:v>
      </x:c>
      <x:c r="F816" s="8" t="str">
        <x:v>Hardware</x:v>
      </x:c>
      <x:c r="G816" s="8" t="str">
        <x:v>Dock Station</x:v>
      </x:c>
      <x:c r="H816" s="10" t="n">
        <x:v>3</x:v>
      </x:c>
      <x:c r="I816" s="11" t="n">
        <x:v>180</x:v>
      </x:c>
      <x:c r="J816" s="12" t="n">
        <x:v>0.2</x:v>
      </x:c>
      <x:c r="K816" s="11" t="n">
        <x:f>H816*I816*(1-J816)</x:f>
        <x:v>432</x:v>
      </x:c>
      <x:c r="L816" s="11" t="n">
        <x:f>H816*(I816*0.62)</x:f>
        <x:v>334.79999999999995</x:v>
      </x:c>
      <x:c r="M816" s="11" t="n">
        <x:f>K816-L816</x:f>
        <x:v>97.20000000000005</x:v>
      </x:c>
      <x:c r="N816" s="8" t="str">
        <x:v>Online</x:v>
      </x:c>
      <x:c r="O816" s="8" t="str">
        <x:v>PayPal</x:v>
      </x:c>
      <x:c r="P816" s="8" t="str">
        <x:v>Shipped</x:v>
      </x:c>
    </x:row>
    <x:row r="817">
      <x:c r="A817" s="8" t="str">
        <x:v>ORD-2025816</x:v>
      </x:c>
      <x:c r="B817" s="9" t="n">
        <x:v>45701</x:v>
      </x:c>
      <x:c r="C817" s="8" t="str">
        <x:v>North</x:v>
      </x:c>
      <x:c r="D817" s="8" t="str">
        <x:v>Ava Patel</x:v>
      </x:c>
      <x:c r="E817" s="8" t="str">
        <x:v>SilverLine LLC</x:v>
      </x:c>
      <x:c r="F817" s="8" t="str">
        <x:v>Accessories</x:v>
      </x:c>
      <x:c r="G817" s="8" t="str">
        <x:v>Wireless Mouse</x:v>
      </x:c>
      <x:c r="H817" s="10" t="n">
        <x:v>11</x:v>
      </x:c>
      <x:c r="I817" s="11" t="n">
        <x:v>40</x:v>
      </x:c>
      <x:c r="J817" s="12" t="n">
        <x:v>0.2</x:v>
      </x:c>
      <x:c r="K817" s="11" t="n">
        <x:f>H817*I817*(1-J817)</x:f>
        <x:v>352</x:v>
      </x:c>
      <x:c r="L817" s="11" t="n">
        <x:f>H817*(I817*0.62)</x:f>
        <x:v>272.8</x:v>
      </x:c>
      <x:c r="M817" s="11" t="n">
        <x:f>K817-L817</x:f>
        <x:v>79.19999999999999</x:v>
      </x:c>
      <x:c r="N817" s="8" t="str">
        <x:v>Online</x:v>
      </x:c>
      <x:c r="O817" s="8" t="str">
        <x:v>Credit Card</x:v>
      </x:c>
      <x:c r="P817" s="8" t="str">
        <x:v>Shipped</x:v>
      </x:c>
    </x:row>
    <x:row r="818">
      <x:c r="A818" s="8" t="str">
        <x:v>ORD-2025817</x:v>
      </x:c>
      <x:c r="B818" s="9" t="n">
        <x:v>45686</x:v>
      </x:c>
      <x:c r="C818" s="8" t="str">
        <x:v>East</x:v>
      </x:c>
      <x:c r="D818" s="8" t="str">
        <x:v>Emma Martin</x:v>
      </x:c>
      <x:c r="E818" s="8" t="str">
        <x:v>RedStone Group</x:v>
      </x:c>
      <x:c r="F818" s="8" t="str">
        <x:v>Software</x:v>
      </x:c>
      <x:c r="G818" s="8" t="str">
        <x:v>ProjectFlow</x:v>
      </x:c>
      <x:c r="H818" s="10" t="n">
        <x:v>3</x:v>
      </x:c>
      <x:c r="I818" s="11" t="n">
        <x:v>700</x:v>
      </x:c>
      <x:c r="J818" s="12" t="n">
        <x:v>0</x:v>
      </x:c>
      <x:c r="K818" s="11" t="n">
        <x:f>H818*I818*(1-J818)</x:f>
        <x:v>2100</x:v>
      </x:c>
      <x:c r="L818" s="11" t="n">
        <x:f>H818*(I818*0.62)</x:f>
        <x:v>1302</x:v>
      </x:c>
      <x:c r="M818" s="11" t="n">
        <x:f>K818-L818</x:f>
        <x:v>798</x:v>
      </x:c>
      <x:c r="N818" s="8" t="str">
        <x:v>Online</x:v>
      </x:c>
      <x:c r="O818" s="8" t="str">
        <x:v>Credit Card</x:v>
      </x:c>
      <x:c r="P818" s="8" t="str">
        <x:v>Shipped</x:v>
      </x:c>
    </x:row>
    <x:row r="819">
      <x:c r="A819" s="8" t="str">
        <x:v>ORD-2025818</x:v>
      </x:c>
      <x:c r="B819" s="9" t="n">
        <x:v>45863</x:v>
      </x:c>
      <x:c r="C819" s="8" t="str">
        <x:v>North</x:v>
      </x:c>
      <x:c r="D819" s="8" t="str">
        <x:v>Emma Martin</x:v>
      </x:c>
      <x:c r="E819" s="8" t="str">
        <x:v>RedStone LLC</x:v>
      </x:c>
      <x:c r="F819" s="8" t="str">
        <x:v>Services</x:v>
      </x:c>
      <x:c r="G819" s="8" t="str">
        <x:v>Consulting Day</x:v>
      </x:c>
      <x:c r="H819" s="10" t="n">
        <x:v>8</x:v>
      </x:c>
      <x:c r="I819" s="11" t="n">
        <x:v>1400</x:v>
      </x:c>
      <x:c r="J819" s="12" t="n">
        <x:v>0.2</x:v>
      </x:c>
      <x:c r="K819" s="11" t="n">
        <x:f>H819*I819*(1-J819)</x:f>
        <x:v>8960</x:v>
      </x:c>
      <x:c r="L819" s="11" t="n">
        <x:f>H819*(I819*0.62)</x:f>
        <x:v>6944</x:v>
      </x:c>
      <x:c r="M819" s="11" t="n">
        <x:f>K819-L819</x:f>
        <x:v>2016</x:v>
      </x:c>
      <x:c r="N819" s="8" t="str">
        <x:v>Online</x:v>
      </x:c>
      <x:c r="O819" s="8" t="str">
        <x:v>Credit Card</x:v>
      </x:c>
      <x:c r="P819" s="8" t="str">
        <x:v>Pending</x:v>
      </x:c>
    </x:row>
    <x:row r="820">
      <x:c r="A820" s="8" t="str">
        <x:v>ORD-2025819</x:v>
      </x:c>
      <x:c r="B820" s="9" t="n">
        <x:v>45975</x:v>
      </x:c>
      <x:c r="C820" s="8" t="str">
        <x:v>Central</x:v>
      </x:c>
      <x:c r="D820" s="8" t="str">
        <x:v>Liam Chen</x:v>
      </x:c>
      <x:c r="E820" s="8" t="str">
        <x:v>BrightPath Group</x:v>
      </x:c>
      <x:c r="F820" s="8" t="str">
        <x:v>Accessories</x:v>
      </x:c>
      <x:c r="G820" s="8" t="str">
        <x:v>Headset</x:v>
      </x:c>
      <x:c r="H820" s="10" t="n">
        <x:v>21</x:v>
      </x:c>
      <x:c r="I820" s="11" t="n">
        <x:v>85</x:v>
      </x:c>
      <x:c r="J820" s="12" t="n">
        <x:v>0.15</x:v>
      </x:c>
      <x:c r="K820" s="11" t="n">
        <x:f>H820*I820*(1-J820)</x:f>
        <x:v>1517.25</x:v>
      </x:c>
      <x:c r="L820" s="11" t="n">
        <x:f>H820*(I820*0.62)</x:f>
        <x:v>1106.7</x:v>
      </x:c>
      <x:c r="M820" s="11" t="n">
        <x:f>K820-L820</x:f>
        <x:v>410.54999999999995</x:v>
      </x:c>
      <x:c r="N820" s="8" t="str">
        <x:v>Direct</x:v>
      </x:c>
      <x:c r="O820" s="8" t="str">
        <x:v>PayPal</x:v>
      </x:c>
      <x:c r="P820" s="8" t="str">
        <x:v>Pending</x:v>
      </x:c>
    </x:row>
    <x:row r="821">
      <x:c r="A821" s="8" t="str">
        <x:v>ORD-2025820</x:v>
      </x:c>
      <x:c r="B821" s="9" t="n">
        <x:v>45710</x:v>
      </x:c>
      <x:c r="C821" s="8" t="str">
        <x:v>North</x:v>
      </x:c>
      <x:c r="D821" s="8" t="str">
        <x:v>Emma Martin</x:v>
      </x:c>
      <x:c r="E821" s="8" t="str">
        <x:v>BlueSky LLC</x:v>
      </x:c>
      <x:c r="F821" s="8" t="str">
        <x:v>Hardware</x:v>
      </x:c>
      <x:c r="G821" s="8" t="str">
        <x:v>Laptop X</x:v>
      </x:c>
      <x:c r="H821" s="10" t="n">
        <x:v>19</x:v>
      </x:c>
      <x:c r="I821" s="11" t="n">
        <x:v>1500</x:v>
      </x:c>
      <x:c r="J821" s="12" t="n">
        <x:v>0.2</x:v>
      </x:c>
      <x:c r="K821" s="11" t="n">
        <x:f>H821*I821*(1-J821)</x:f>
        <x:v>22800</x:v>
      </x:c>
      <x:c r="L821" s="11" t="n">
        <x:f>H821*(I821*0.62)</x:f>
        <x:v>17670</x:v>
      </x:c>
      <x:c r="M821" s="11" t="n">
        <x:f>K821-L821</x:f>
        <x:v>5130</x:v>
      </x:c>
      <x:c r="N821" s="8" t="str">
        <x:v>Direct</x:v>
      </x:c>
      <x:c r="O821" s="8" t="str">
        <x:v>Bank Transfer</x:v>
      </x:c>
      <x:c r="P821" s="8" t="str">
        <x:v>Shipped</x:v>
      </x:c>
    </x:row>
    <x:row r="822">
      <x:c r="A822" s="8" t="str">
        <x:v>ORD-2025821</x:v>
      </x:c>
      <x:c r="B822" s="9" t="n">
        <x:v>45873</x:v>
      </x:c>
      <x:c r="C822" s="8" t="str">
        <x:v>West</x:v>
      </x:c>
      <x:c r="D822" s="8" t="str">
        <x:v>Emma Martin</x:v>
      </x:c>
      <x:c r="E822" s="8" t="str">
        <x:v>GoldenGate LLC</x:v>
      </x:c>
      <x:c r="F822" s="8" t="str">
        <x:v>Services</x:v>
      </x:c>
      <x:c r="G822" s="8" t="str">
        <x:v>Support Plus</x:v>
      </x:c>
      <x:c r="H822" s="10" t="n">
        <x:v>6</x:v>
      </x:c>
      <x:c r="I822" s="11" t="n">
        <x:v>650</x:v>
      </x:c>
      <x:c r="J822" s="12" t="n">
        <x:v>0</x:v>
      </x:c>
      <x:c r="K822" s="11" t="n">
        <x:f>H822*I822*(1-J822)</x:f>
        <x:v>3900</x:v>
      </x:c>
      <x:c r="L822" s="11" t="n">
        <x:f>H822*(I822*0.62)</x:f>
        <x:v>2418</x:v>
      </x:c>
      <x:c r="M822" s="11" t="n">
        <x:f>K822-L822</x:f>
        <x:v>1482</x:v>
      </x:c>
      <x:c r="N822" s="8" t="str">
        <x:v>Direct</x:v>
      </x:c>
      <x:c r="O822" s="8" t="str">
        <x:v>Credit Card</x:v>
      </x:c>
      <x:c r="P822" s="8" t="str">
        <x:v>Closed Won</x:v>
      </x:c>
    </x:row>
    <x:row r="823">
      <x:c r="A823" s="8" t="str">
        <x:v>ORD-2025822</x:v>
      </x:c>
      <x:c r="B823" s="9" t="n">
        <x:v>45920</x:v>
      </x:c>
      <x:c r="C823" s="8" t="str">
        <x:v>East</x:v>
      </x:c>
      <x:c r="D823" s="8" t="str">
        <x:v>Ethan Garcia</x:v>
      </x:c>
      <x:c r="E823" s="8" t="str">
        <x:v>Ironwood Co</x:v>
      </x:c>
      <x:c r="F823" s="8" t="str">
        <x:v>Services</x:v>
      </x:c>
      <x:c r="G823" s="8" t="str">
        <x:v>Consulting Day</x:v>
      </x:c>
      <x:c r="H823" s="10" t="n">
        <x:v>18</x:v>
      </x:c>
      <x:c r="I823" s="11" t="n">
        <x:v>1400</x:v>
      </x:c>
      <x:c r="J823" s="12" t="n">
        <x:v>0.2</x:v>
      </x:c>
      <x:c r="K823" s="11" t="n">
        <x:f>H823*I823*(1-J823)</x:f>
        <x:v>20160</x:v>
      </x:c>
      <x:c r="L823" s="11" t="n">
        <x:f>H823*(I823*0.62)</x:f>
        <x:v>15624</x:v>
      </x:c>
      <x:c r="M823" s="11" t="n">
        <x:f>K823-L823</x:f>
        <x:v>4536</x:v>
      </x:c>
      <x:c r="N823" s="8" t="str">
        <x:v>Direct</x:v>
      </x:c>
      <x:c r="O823" s="8" t="str">
        <x:v>Bank Transfer</x:v>
      </x:c>
      <x:c r="P823" s="8" t="str">
        <x:v>Pending</x:v>
      </x:c>
    </x:row>
    <x:row r="824">
      <x:c r="A824" s="8" t="str">
        <x:v>ORD-2025823</x:v>
      </x:c>
      <x:c r="B824" s="9" t="n">
        <x:v>45846</x:v>
      </x:c>
      <x:c r="C824" s="8" t="str">
        <x:v>North</x:v>
      </x:c>
      <x:c r="D824" s="8" t="str">
        <x:v>Mason Lee</x:v>
      </x:c>
      <x:c r="E824" s="8" t="str">
        <x:v>Ironwood Group</x:v>
      </x:c>
      <x:c r="F824" s="8" t="str">
        <x:v>Services</x:v>
      </x:c>
      <x:c r="G824" s="8" t="str">
        <x:v>Support Plus</x:v>
      </x:c>
      <x:c r="H824" s="10" t="n">
        <x:v>22</x:v>
      </x:c>
      <x:c r="I824" s="11" t="n">
        <x:v>650</x:v>
      </x:c>
      <x:c r="J824" s="12" t="n">
        <x:v>0.15</x:v>
      </x:c>
      <x:c r="K824" s="11" t="n">
        <x:f>H824*I824*(1-J824)</x:f>
        <x:v>12155</x:v>
      </x:c>
      <x:c r="L824" s="11" t="n">
        <x:f>H824*(I824*0.62)</x:f>
        <x:v>8866</x:v>
      </x:c>
      <x:c r="M824" s="11" t="n">
        <x:f>K824-L824</x:f>
        <x:v>3289</x:v>
      </x:c>
      <x:c r="N824" s="8" t="str">
        <x:v>Direct</x:v>
      </x:c>
      <x:c r="O824" s="8" t="str">
        <x:v>Credit Card</x:v>
      </x:c>
      <x:c r="P824" s="8" t="str">
        <x:v>Closed Won</x:v>
      </x:c>
    </x:row>
    <x:row r="825">
      <x:c r="A825" s="8" t="str">
        <x:v>ORD-2025824</x:v>
      </x:c>
      <x:c r="B825" s="9" t="n">
        <x:v>45834</x:v>
      </x:c>
      <x:c r="C825" s="8" t="str">
        <x:v>South</x:v>
      </x:c>
      <x:c r="D825" s="8" t="str">
        <x:v>Mia Johnson</x:v>
      </x:c>
      <x:c r="E825" s="8" t="str">
        <x:v>Nexus Inc</x:v>
      </x:c>
      <x:c r="F825" s="8" t="str">
        <x:v>Software</x:v>
      </x:c>
      <x:c r="G825" s="8" t="str">
        <x:v>ProjectFlow</x:v>
      </x:c>
      <x:c r="H825" s="10" t="n">
        <x:v>3</x:v>
      </x:c>
      <x:c r="I825" s="11" t="n">
        <x:v>700</x:v>
      </x:c>
      <x:c r="J825" s="12" t="n">
        <x:v>0</x:v>
      </x:c>
      <x:c r="K825" s="11" t="n">
        <x:f>H825*I825*(1-J825)</x:f>
        <x:v>2100</x:v>
      </x:c>
      <x:c r="L825" s="11" t="n">
        <x:f>H825*(I825*0.62)</x:f>
        <x:v>1302</x:v>
      </x:c>
      <x:c r="M825" s="11" t="n">
        <x:f>K825-L825</x:f>
        <x:v>798</x:v>
      </x:c>
      <x:c r="N825" s="8" t="str">
        <x:v>Direct</x:v>
      </x:c>
      <x:c r="O825" s="8" t="str">
        <x:v>PayPal</x:v>
      </x:c>
      <x:c r="P825" s="8" t="str">
        <x:v>Shipped</x:v>
      </x:c>
    </x:row>
    <x:row r="826">
      <x:c r="A826" s="8" t="str">
        <x:v>ORD-2025825</x:v>
      </x:c>
      <x:c r="B826" s="9" t="n">
        <x:v>45954</x:v>
      </x:c>
      <x:c r="C826" s="8" t="str">
        <x:v>Central</x:v>
      </x:c>
      <x:c r="D826" s="8" t="str">
        <x:v>Sophia Kim</x:v>
      </x:c>
      <x:c r="E826" s="8" t="str">
        <x:v>Nova Co</x:v>
      </x:c>
      <x:c r="F826" s="8" t="str">
        <x:v>Accessories</x:v>
      </x:c>
      <x:c r="G826" s="8" t="str">
        <x:v>Webcam HD</x:v>
      </x:c>
      <x:c r="H826" s="10" t="n">
        <x:v>10</x:v>
      </x:c>
      <x:c r="I826" s="11" t="n">
        <x:v>110</x:v>
      </x:c>
      <x:c r="J826" s="12" t="n">
        <x:v>0.05</x:v>
      </x:c>
      <x:c r="K826" s="11" t="n">
        <x:f>H826*I826*(1-J826)</x:f>
        <x:v>1045</x:v>
      </x:c>
      <x:c r="L826" s="11" t="n">
        <x:f>H826*(I826*0.62)</x:f>
        <x:v>682</x:v>
      </x:c>
      <x:c r="M826" s="11" t="n">
        <x:f>K826-L826</x:f>
        <x:v>363</x:v>
      </x:c>
      <x:c r="N826" s="8" t="str">
        <x:v>Partner</x:v>
      </x:c>
      <x:c r="O826" s="8" t="str">
        <x:v>Bank Transfer</x:v>
      </x:c>
      <x:c r="P826" s="8" t="str">
        <x:v>Closed Won</x:v>
      </x:c>
    </x:row>
    <x:row r="827">
      <x:c r="A827" s="8" t="str">
        <x:v>ORD-2025826</x:v>
      </x:c>
      <x:c r="B827" s="9" t="n">
        <x:v>45770</x:v>
      </x:c>
      <x:c r="C827" s="8" t="str">
        <x:v>North</x:v>
      </x:c>
      <x:c r="D827" s="8" t="str">
        <x:v>Mia Johnson</x:v>
      </x:c>
      <x:c r="E827" s="8" t="str">
        <x:v>Cedar Inc</x:v>
      </x:c>
      <x:c r="F827" s="8" t="str">
        <x:v>Software</x:v>
      </x:c>
      <x:c r="G827" s="8" t="str">
        <x:v>ProjectFlow</x:v>
      </x:c>
      <x:c r="H827" s="10" t="n">
        <x:v>15</x:v>
      </x:c>
      <x:c r="I827" s="11" t="n">
        <x:v>700</x:v>
      </x:c>
      <x:c r="J827" s="12" t="n">
        <x:v>0.1</x:v>
      </x:c>
      <x:c r="K827" s="11" t="n">
        <x:f>H827*I827*(1-J827)</x:f>
        <x:v>9450</x:v>
      </x:c>
      <x:c r="L827" s="11" t="n">
        <x:f>H827*(I827*0.62)</x:f>
        <x:v>6510</x:v>
      </x:c>
      <x:c r="M827" s="11" t="n">
        <x:f>K827-L827</x:f>
        <x:v>2940</x:v>
      </x:c>
      <x:c r="N827" s="8" t="str">
        <x:v>Direct</x:v>
      </x:c>
      <x:c r="O827" s="8" t="str">
        <x:v>Bank Transfer</x:v>
      </x:c>
      <x:c r="P827" s="8" t="str">
        <x:v>Pending</x:v>
      </x:c>
    </x:row>
    <x:row r="828">
      <x:c r="A828" s="8" t="str">
        <x:v>ORD-2025827</x:v>
      </x:c>
      <x:c r="B828" s="9" t="n">
        <x:v>45763</x:v>
      </x:c>
      <x:c r="C828" s="8" t="str">
        <x:v>West</x:v>
      </x:c>
      <x:c r="D828" s="8" t="str">
        <x:v>Noah Davis</x:v>
      </x:c>
      <x:c r="E828" s="8" t="str">
        <x:v>Acme LLC</x:v>
      </x:c>
      <x:c r="F828" s="8" t="str">
        <x:v>Services</x:v>
      </x:c>
      <x:c r="G828" s="8" t="str">
        <x:v>Consulting Day</x:v>
      </x:c>
      <x:c r="H828" s="10" t="n">
        <x:v>12</x:v>
      </x:c>
      <x:c r="I828" s="11" t="n">
        <x:v>1400</x:v>
      </x:c>
      <x:c r="J828" s="12" t="n">
        <x:v>0</x:v>
      </x:c>
      <x:c r="K828" s="11" t="n">
        <x:f>H828*I828*(1-J828)</x:f>
        <x:v>16800</x:v>
      </x:c>
      <x:c r="L828" s="11" t="n">
        <x:f>H828*(I828*0.62)</x:f>
        <x:v>10416</x:v>
      </x:c>
      <x:c r="M828" s="11" t="n">
        <x:f>K828-L828</x:f>
        <x:v>6384</x:v>
      </x:c>
      <x:c r="N828" s="8" t="str">
        <x:v>Direct</x:v>
      </x:c>
      <x:c r="O828" s="8" t="str">
        <x:v>Invoice</x:v>
      </x:c>
      <x:c r="P828" s="8" t="str">
        <x:v>Closed Won</x:v>
      </x:c>
    </x:row>
    <x:row r="829">
      <x:c r="A829" s="8" t="str">
        <x:v>ORD-2025828</x:v>
      </x:c>
      <x:c r="B829" s="9" t="n">
        <x:v>45806</x:v>
      </x:c>
      <x:c r="C829" s="8" t="str">
        <x:v>West</x:v>
      </x:c>
      <x:c r="D829" s="8" t="str">
        <x:v>Mia Johnson</x:v>
      </x:c>
      <x:c r="E829" s="8" t="str">
        <x:v>Ironwood Co</x:v>
      </x:c>
      <x:c r="F829" s="8" t="str">
        <x:v>Software</x:v>
      </x:c>
      <x:c r="G829" s="8" t="str">
        <x:v>Analytics Cloud</x:v>
      </x:c>
      <x:c r="H829" s="10" t="n">
        <x:v>25</x:v>
      </x:c>
      <x:c r="I829" s="11" t="n">
        <x:v>1800</x:v>
      </x:c>
      <x:c r="J829" s="12" t="n">
        <x:v>0</x:v>
      </x:c>
      <x:c r="K829" s="11" t="n">
        <x:f>H829*I829*(1-J829)</x:f>
        <x:v>45000</x:v>
      </x:c>
      <x:c r="L829" s="11" t="n">
        <x:f>H829*(I829*0.62)</x:f>
        <x:v>27900</x:v>
      </x:c>
      <x:c r="M829" s="11" t="n">
        <x:f>K829-L829</x:f>
        <x:v>17100</x:v>
      </x:c>
      <x:c r="N829" s="8" t="str">
        <x:v>Direct</x:v>
      </x:c>
      <x:c r="O829" s="8" t="str">
        <x:v>Credit Card</x:v>
      </x:c>
      <x:c r="P829" s="8" t="str">
        <x:v>Closed Won</x:v>
      </x:c>
    </x:row>
    <x:row r="830">
      <x:c r="A830" s="8" t="str">
        <x:v>ORD-2025829</x:v>
      </x:c>
      <x:c r="B830" s="9" t="n">
        <x:v>45770</x:v>
      </x:c>
      <x:c r="C830" s="8" t="str">
        <x:v>East</x:v>
      </x:c>
      <x:c r="D830" s="8" t="str">
        <x:v>Noah Davis</x:v>
      </x:c>
      <x:c r="E830" s="8" t="str">
        <x:v>BrightPath Group</x:v>
      </x:c>
      <x:c r="F830" s="8" t="str">
        <x:v>Services</x:v>
      </x:c>
      <x:c r="G830" s="8" t="str">
        <x:v>Training</x:v>
      </x:c>
      <x:c r="H830" s="10" t="n">
        <x:v>18</x:v>
      </x:c>
      <x:c r="I830" s="11" t="n">
        <x:v>900</x:v>
      </x:c>
      <x:c r="J830" s="12" t="n">
        <x:v>0</x:v>
      </x:c>
      <x:c r="K830" s="11" t="n">
        <x:f>H830*I830*(1-J830)</x:f>
        <x:v>16200</x:v>
      </x:c>
      <x:c r="L830" s="11" t="n">
        <x:f>H830*(I830*0.62)</x:f>
        <x:v>10044</x:v>
      </x:c>
      <x:c r="M830" s="11" t="n">
        <x:f>K830-L830</x:f>
        <x:v>6156</x:v>
      </x:c>
      <x:c r="N830" s="8" t="str">
        <x:v>Direct</x:v>
      </x:c>
      <x:c r="O830" s="8" t="str">
        <x:v>Bank Transfer</x:v>
      </x:c>
      <x:c r="P830" s="8" t="str">
        <x:v>Closed Won</x:v>
      </x:c>
    </x:row>
    <x:row r="831">
      <x:c r="A831" s="8" t="str">
        <x:v>ORD-2025830</x:v>
      </x:c>
      <x:c r="B831" s="9" t="n">
        <x:v>45668</x:v>
      </x:c>
      <x:c r="C831" s="8" t="str">
        <x:v>South</x:v>
      </x:c>
      <x:c r="D831" s="8" t="str">
        <x:v>Lucas Brown</x:v>
      </x:c>
      <x:c r="E831" s="8" t="str">
        <x:v>Pioneer Co</x:v>
      </x:c>
      <x:c r="F831" s="8" t="str">
        <x:v>Services</x:v>
      </x:c>
      <x:c r="G831" s="8" t="str">
        <x:v>Implementation</x:v>
      </x:c>
      <x:c r="H831" s="10" t="n">
        <x:v>11</x:v>
      </x:c>
      <x:c r="I831" s="11" t="n">
        <x:v>2500</x:v>
      </x:c>
      <x:c r="J831" s="12" t="n">
        <x:v>0</x:v>
      </x:c>
      <x:c r="K831" s="11" t="n">
        <x:f>H831*I831*(1-J831)</x:f>
        <x:v>27500</x:v>
      </x:c>
      <x:c r="L831" s="11" t="n">
        <x:f>H831*(I831*0.62)</x:f>
        <x:v>17050</x:v>
      </x:c>
      <x:c r="M831" s="11" t="n">
        <x:f>K831-L831</x:f>
        <x:v>10450</x:v>
      </x:c>
      <x:c r="N831" s="8" t="str">
        <x:v>Partner</x:v>
      </x:c>
      <x:c r="O831" s="8" t="str">
        <x:v>PayPal</x:v>
      </x:c>
      <x:c r="P831" s="8" t="str">
        <x:v>Closed Won</x:v>
      </x:c>
    </x:row>
    <x:row r="832">
      <x:c r="A832" s="8" t="str">
        <x:v>ORD-2025831</x:v>
      </x:c>
      <x:c r="B832" s="9" t="n">
        <x:v>45927</x:v>
      </x:c>
      <x:c r="C832" s="8" t="str">
        <x:v>Central</x:v>
      </x:c>
      <x:c r="D832" s="8" t="str">
        <x:v>Lucas Brown</x:v>
      </x:c>
      <x:c r="E832" s="8" t="str">
        <x:v>BlueSky LLC</x:v>
      </x:c>
      <x:c r="F832" s="8" t="str">
        <x:v>Services</x:v>
      </x:c>
      <x:c r="G832" s="8" t="str">
        <x:v>Training</x:v>
      </x:c>
      <x:c r="H832" s="10" t="n">
        <x:v>4</x:v>
      </x:c>
      <x:c r="I832" s="11" t="n">
        <x:v>900</x:v>
      </x:c>
      <x:c r="J832" s="12" t="n">
        <x:v>0</x:v>
      </x:c>
      <x:c r="K832" s="11" t="n">
        <x:f>H832*I832*(1-J832)</x:f>
        <x:v>3600</x:v>
      </x:c>
      <x:c r="L832" s="11" t="n">
        <x:f>H832*(I832*0.62)</x:f>
        <x:v>2232</x:v>
      </x:c>
      <x:c r="M832" s="11" t="n">
        <x:f>K832-L832</x:f>
        <x:v>1368</x:v>
      </x:c>
      <x:c r="N832" s="8" t="str">
        <x:v>Direct</x:v>
      </x:c>
      <x:c r="O832" s="8" t="str">
        <x:v>Bank Transfer</x:v>
      </x:c>
      <x:c r="P832" s="8" t="str">
        <x:v>Closed Won</x:v>
      </x:c>
    </x:row>
    <x:row r="833">
      <x:c r="A833" s="8" t="str">
        <x:v>ORD-2025832</x:v>
      </x:c>
      <x:c r="B833" s="9" t="n">
        <x:v>45820</x:v>
      </x:c>
      <x:c r="C833" s="8" t="str">
        <x:v>Central</x:v>
      </x:c>
      <x:c r="D833" s="8" t="str">
        <x:v>Lucas Brown</x:v>
      </x:c>
      <x:c r="E833" s="8" t="str">
        <x:v>Cedar Group</x:v>
      </x:c>
      <x:c r="F833" s="8" t="str">
        <x:v>Accessories</x:v>
      </x:c>
      <x:c r="G833" s="8" t="str">
        <x:v>Webcam HD</x:v>
      </x:c>
      <x:c r="H833" s="10" t="n">
        <x:v>2</x:v>
      </x:c>
      <x:c r="I833" s="11" t="n">
        <x:v>110</x:v>
      </x:c>
      <x:c r="J833" s="12" t="n">
        <x:v>0.2</x:v>
      </x:c>
      <x:c r="K833" s="11" t="n">
        <x:f>H833*I833*(1-J833)</x:f>
        <x:v>176</x:v>
      </x:c>
      <x:c r="L833" s="11" t="n">
        <x:f>H833*(I833*0.62)</x:f>
        <x:v>136.4</x:v>
      </x:c>
      <x:c r="M833" s="11" t="n">
        <x:f>K833-L833</x:f>
        <x:v>39.599999999999994</x:v>
      </x:c>
      <x:c r="N833" s="8" t="str">
        <x:v>Online</x:v>
      </x:c>
      <x:c r="O833" s="8" t="str">
        <x:v>Bank Transfer</x:v>
      </x:c>
      <x:c r="P833" s="8" t="str">
        <x:v>Returned</x:v>
      </x:c>
    </x:row>
    <x:row r="834">
      <x:c r="A834" s="8" t="str">
        <x:v>ORD-2025833</x:v>
      </x:c>
      <x:c r="B834" s="9" t="n">
        <x:v>45825</x:v>
      </x:c>
      <x:c r="C834" s="8" t="str">
        <x:v>South</x:v>
      </x:c>
      <x:c r="D834" s="8" t="str">
        <x:v>Ava Patel</x:v>
      </x:c>
      <x:c r="E834" s="8" t="str">
        <x:v>Prime Group</x:v>
      </x:c>
      <x:c r="F834" s="8" t="str">
        <x:v>Services</x:v>
      </x:c>
      <x:c r="G834" s="8" t="str">
        <x:v>Training</x:v>
      </x:c>
      <x:c r="H834" s="10" t="n">
        <x:v>5</x:v>
      </x:c>
      <x:c r="I834" s="11" t="n">
        <x:v>900</x:v>
      </x:c>
      <x:c r="J834" s="12" t="n">
        <x:v>0.2</x:v>
      </x:c>
      <x:c r="K834" s="11" t="n">
        <x:f>H834*I834*(1-J834)</x:f>
        <x:v>3600</x:v>
      </x:c>
      <x:c r="L834" s="11" t="n">
        <x:f>H834*(I834*0.62)</x:f>
        <x:v>2790</x:v>
      </x:c>
      <x:c r="M834" s="11" t="n">
        <x:f>K834-L834</x:f>
        <x:v>810</x:v>
      </x:c>
      <x:c r="N834" s="8" t="str">
        <x:v>Online</x:v>
      </x:c>
      <x:c r="O834" s="8" t="str">
        <x:v>PayPal</x:v>
      </x:c>
      <x:c r="P834" s="8" t="str">
        <x:v>Closed Won</x:v>
      </x:c>
    </x:row>
    <x:row r="835">
      <x:c r="A835" s="8" t="str">
        <x:v>ORD-2025834</x:v>
      </x:c>
      <x:c r="B835" s="9" t="n">
        <x:v>45997</x:v>
      </x:c>
      <x:c r="C835" s="8" t="str">
        <x:v>Central</x:v>
      </x:c>
      <x:c r="D835" s="8" t="str">
        <x:v>Liam Chen</x:v>
      </x:c>
      <x:c r="E835" s="8" t="str">
        <x:v>GreenLeaf Inc</x:v>
      </x:c>
      <x:c r="F835" s="8" t="str">
        <x:v>Software</x:v>
      </x:c>
      <x:c r="G835" s="8" t="str">
        <x:v>ProjectFlow</x:v>
      </x:c>
      <x:c r="H835" s="10" t="n">
        <x:v>17</x:v>
      </x:c>
      <x:c r="I835" s="11" t="n">
        <x:v>700</x:v>
      </x:c>
      <x:c r="J835" s="12" t="n">
        <x:v>0.05</x:v>
      </x:c>
      <x:c r="K835" s="11" t="n">
        <x:f>H835*I835*(1-J835)</x:f>
        <x:v>11305</x:v>
      </x:c>
      <x:c r="L835" s="11" t="n">
        <x:f>H835*(I835*0.62)</x:f>
        <x:v>7378</x:v>
      </x:c>
      <x:c r="M835" s="11" t="n">
        <x:f>K835-L835</x:f>
        <x:v>3927</x:v>
      </x:c>
      <x:c r="N835" s="8" t="str">
        <x:v>Online</x:v>
      </x:c>
      <x:c r="O835" s="8" t="str">
        <x:v>Invoice</x:v>
      </x:c>
      <x:c r="P835" s="8" t="str">
        <x:v>Pending</x:v>
      </x:c>
    </x:row>
    <x:row r="836">
      <x:c r="A836" s="8" t="str">
        <x:v>ORD-2025835</x:v>
      </x:c>
      <x:c r="B836" s="9" t="n">
        <x:v>45822</x:v>
      </x:c>
      <x:c r="C836" s="8" t="str">
        <x:v>East</x:v>
      </x:c>
      <x:c r="D836" s="8" t="str">
        <x:v>Mason Lee</x:v>
      </x:c>
      <x:c r="E836" s="8" t="str">
        <x:v>NorthStar Inc</x:v>
      </x:c>
      <x:c r="F836" s="8" t="str">
        <x:v>Accessories</x:v>
      </x:c>
      <x:c r="G836" s="8" t="str">
        <x:v>Keyboard Pro</x:v>
      </x:c>
      <x:c r="H836" s="10" t="n">
        <x:v>23</x:v>
      </x:c>
      <x:c r="I836" s="11" t="n">
        <x:v>95</x:v>
      </x:c>
      <x:c r="J836" s="12" t="n">
        <x:v>0.05</x:v>
      </x:c>
      <x:c r="K836" s="11" t="n">
        <x:f>H836*I836*(1-J836)</x:f>
        <x:v>2075.75</x:v>
      </x:c>
      <x:c r="L836" s="11" t="n">
        <x:f>H836*(I836*0.62)</x:f>
        <x:v>1354.7</x:v>
      </x:c>
      <x:c r="M836" s="11" t="n">
        <x:f>K836-L836</x:f>
        <x:v>721.05</x:v>
      </x:c>
      <x:c r="N836" s="8" t="str">
        <x:v>Partner</x:v>
      </x:c>
      <x:c r="O836" s="8" t="str">
        <x:v>Invoice</x:v>
      </x:c>
      <x:c r="P836" s="8" t="str">
        <x:v>Shipped</x:v>
      </x:c>
    </x:row>
    <x:row r="837">
      <x:c r="A837" s="8" t="str">
        <x:v>ORD-2025836</x:v>
      </x:c>
      <x:c r="B837" s="9" t="n">
        <x:v>45770</x:v>
      </x:c>
      <x:c r="C837" s="8" t="str">
        <x:v>South</x:v>
      </x:c>
      <x:c r="D837" s="8" t="str">
        <x:v>Olivia Wilson</x:v>
      </x:c>
      <x:c r="E837" s="8" t="str">
        <x:v>Cedar Co</x:v>
      </x:c>
      <x:c r="F837" s="8" t="str">
        <x:v>Software</x:v>
      </x:c>
      <x:c r="G837" s="8" t="str">
        <x:v>Analytics Cloud</x:v>
      </x:c>
      <x:c r="H837" s="10" t="n">
        <x:v>13</x:v>
      </x:c>
      <x:c r="I837" s="11" t="n">
        <x:v>1800</x:v>
      </x:c>
      <x:c r="J837" s="12" t="n">
        <x:v>0</x:v>
      </x:c>
      <x:c r="K837" s="11" t="n">
        <x:f>H837*I837*(1-J837)</x:f>
        <x:v>23400</x:v>
      </x:c>
      <x:c r="L837" s="11" t="n">
        <x:f>H837*(I837*0.62)</x:f>
        <x:v>14508</x:v>
      </x:c>
      <x:c r="M837" s="11" t="n">
        <x:f>K837-L837</x:f>
        <x:v>8892</x:v>
      </x:c>
      <x:c r="N837" s="8" t="str">
        <x:v>Partner</x:v>
      </x:c>
      <x:c r="O837" s="8" t="str">
        <x:v>PayPal</x:v>
      </x:c>
      <x:c r="P837" s="8" t="str">
        <x:v>Cancelled</x:v>
      </x:c>
    </x:row>
    <x:row r="838">
      <x:c r="A838" s="8" t="str">
        <x:v>ORD-2025837</x:v>
      </x:c>
      <x:c r="B838" s="9" t="n">
        <x:v>45788</x:v>
      </x:c>
      <x:c r="C838" s="8" t="str">
        <x:v>Central</x:v>
      </x:c>
      <x:c r="D838" s="8" t="str">
        <x:v>Liam Chen</x:v>
      </x:c>
      <x:c r="E838" s="8" t="str">
        <x:v>Urban Inc</x:v>
      </x:c>
      <x:c r="F838" s="8" t="str">
        <x:v>Hardware</x:v>
      </x:c>
      <x:c r="G838" s="8" t="str">
        <x:v>Dock Station</x:v>
      </x:c>
      <x:c r="H838" s="10" t="n">
        <x:v>25</x:v>
      </x:c>
      <x:c r="I838" s="11" t="n">
        <x:v>180</x:v>
      </x:c>
      <x:c r="J838" s="12" t="n">
        <x:v>0</x:v>
      </x:c>
      <x:c r="K838" s="11" t="n">
        <x:f>H838*I838*(1-J838)</x:f>
        <x:v>4500</x:v>
      </x:c>
      <x:c r="L838" s="11" t="n">
        <x:f>H838*(I838*0.62)</x:f>
        <x:v>2790</x:v>
      </x:c>
      <x:c r="M838" s="11" t="n">
        <x:f>K838-L838</x:f>
        <x:v>1710</x:v>
      </x:c>
      <x:c r="N838" s="8" t="str">
        <x:v>Partner</x:v>
      </x:c>
      <x:c r="O838" s="8" t="str">
        <x:v>PayPal</x:v>
      </x:c>
      <x:c r="P838" s="8" t="str">
        <x:v>Pending</x:v>
      </x:c>
    </x:row>
    <x:row r="839">
      <x:c r="A839" s="8" t="str">
        <x:v>ORD-2025838</x:v>
      </x:c>
      <x:c r="B839" s="9" t="n">
        <x:v>45896</x:v>
      </x:c>
      <x:c r="C839" s="8" t="str">
        <x:v>Central</x:v>
      </x:c>
      <x:c r="D839" s="8" t="str">
        <x:v>Emma Martin</x:v>
      </x:c>
      <x:c r="E839" s="8" t="str">
        <x:v>BrightPath Group</x:v>
      </x:c>
      <x:c r="F839" s="8" t="str">
        <x:v>Hardware</x:v>
      </x:c>
      <x:c r="G839" s="8" t="str">
        <x:v>Laptop X</x:v>
      </x:c>
      <x:c r="H839" s="10" t="n">
        <x:v>14</x:v>
      </x:c>
      <x:c r="I839" s="11" t="n">
        <x:v>1500</x:v>
      </x:c>
      <x:c r="J839" s="12" t="n">
        <x:v>0.05</x:v>
      </x:c>
      <x:c r="K839" s="11" t="n">
        <x:f>H839*I839*(1-J839)</x:f>
        <x:v>19950</x:v>
      </x:c>
      <x:c r="L839" s="11" t="n">
        <x:f>H839*(I839*0.62)</x:f>
        <x:v>13020</x:v>
      </x:c>
      <x:c r="M839" s="11" t="n">
        <x:f>K839-L839</x:f>
        <x:v>6930</x:v>
      </x:c>
      <x:c r="N839" s="8" t="str">
        <x:v>Partner</x:v>
      </x:c>
      <x:c r="O839" s="8" t="str">
        <x:v>PayPal</x:v>
      </x:c>
      <x:c r="P839" s="8" t="str">
        <x:v>Closed Won</x:v>
      </x:c>
    </x:row>
    <x:row r="840">
      <x:c r="A840" s="8" t="str">
        <x:v>ORD-2025839</x:v>
      </x:c>
      <x:c r="B840" s="9" t="n">
        <x:v>45797</x:v>
      </x:c>
      <x:c r="C840" s="8" t="str">
        <x:v>West</x:v>
      </x:c>
      <x:c r="D840" s="8" t="str">
        <x:v>Ava Patel</x:v>
      </x:c>
      <x:c r="E840" s="8" t="str">
        <x:v>GreenLeaf Co</x:v>
      </x:c>
      <x:c r="F840" s="8" t="str">
        <x:v>Accessories</x:v>
      </x:c>
      <x:c r="G840" s="8" t="str">
        <x:v>Webcam HD</x:v>
      </x:c>
      <x:c r="H840" s="10" t="n">
        <x:v>15</x:v>
      </x:c>
      <x:c r="I840" s="11" t="n">
        <x:v>110</x:v>
      </x:c>
      <x:c r="J840" s="12" t="n">
        <x:v>0</x:v>
      </x:c>
      <x:c r="K840" s="11" t="n">
        <x:f>H840*I840*(1-J840)</x:f>
        <x:v>1650</x:v>
      </x:c>
      <x:c r="L840" s="11" t="n">
        <x:f>H840*(I840*0.62)</x:f>
        <x:v>1023</x:v>
      </x:c>
      <x:c r="M840" s="11" t="n">
        <x:f>K840-L840</x:f>
        <x:v>627</x:v>
      </x:c>
      <x:c r="N840" s="8" t="str">
        <x:v>Partner</x:v>
      </x:c>
      <x:c r="O840" s="8" t="str">
        <x:v>Credit Card</x:v>
      </x:c>
      <x:c r="P840" s="8" t="str">
        <x:v>Closed Won</x:v>
      </x:c>
    </x:row>
    <x:row r="841">
      <x:c r="A841" s="8" t="str">
        <x:v>ORD-2025840</x:v>
      </x:c>
      <x:c r="B841" s="9" t="n">
        <x:v>45914</x:v>
      </x:c>
      <x:c r="C841" s="8" t="str">
        <x:v>Central</x:v>
      </x:c>
      <x:c r="D841" s="8" t="str">
        <x:v>Mason Lee</x:v>
      </x:c>
      <x:c r="E841" s="8" t="str">
        <x:v>BlueSky Co</x:v>
      </x:c>
      <x:c r="F841" s="8" t="str">
        <x:v>Software</x:v>
      </x:c>
      <x:c r="G841" s="8" t="str">
        <x:v>HR Suite</x:v>
      </x:c>
      <x:c r="H841" s="10" t="n">
        <x:v>9</x:v>
      </x:c>
      <x:c r="I841" s="11" t="n">
        <x:v>950</x:v>
      </x:c>
      <x:c r="J841" s="12" t="n">
        <x:v>0</x:v>
      </x:c>
      <x:c r="K841" s="11" t="n">
        <x:f>H841*I841*(1-J841)</x:f>
        <x:v>8550</x:v>
      </x:c>
      <x:c r="L841" s="11" t="n">
        <x:f>H841*(I841*0.62)</x:f>
        <x:v>5301</x:v>
      </x:c>
      <x:c r="M841" s="11" t="n">
        <x:f>K841-L841</x:f>
        <x:v>3249</x:v>
      </x:c>
      <x:c r="N841" s="8" t="str">
        <x:v>Direct</x:v>
      </x:c>
      <x:c r="O841" s="8" t="str">
        <x:v>Credit Card</x:v>
      </x:c>
      <x:c r="P841" s="8" t="str">
        <x:v>Closed Won</x:v>
      </x:c>
    </x:row>
    <x:row r="842">
      <x:c r="A842" s="8" t="str">
        <x:v>ORD-2025841</x:v>
      </x:c>
      <x:c r="B842" s="9" t="n">
        <x:v>45828</x:v>
      </x:c>
      <x:c r="C842" s="8" t="str">
        <x:v>South</x:v>
      </x:c>
      <x:c r="D842" s="8" t="str">
        <x:v>Sophia Kim</x:v>
      </x:c>
      <x:c r="E842" s="8" t="str">
        <x:v>Prime LLC</x:v>
      </x:c>
      <x:c r="F842" s="8" t="str">
        <x:v>Software</x:v>
      </x:c>
      <x:c r="G842" s="8" t="str">
        <x:v>Analytics Cloud</x:v>
      </x:c>
      <x:c r="H842" s="10" t="n">
        <x:v>10</x:v>
      </x:c>
      <x:c r="I842" s="11" t="n">
        <x:v>1800</x:v>
      </x:c>
      <x:c r="J842" s="12" t="n">
        <x:v>0.15</x:v>
      </x:c>
      <x:c r="K842" s="11" t="n">
        <x:f>H842*I842*(1-J842)</x:f>
        <x:v>15300</x:v>
      </x:c>
      <x:c r="L842" s="11" t="n">
        <x:f>H842*(I842*0.62)</x:f>
        <x:v>11160</x:v>
      </x:c>
      <x:c r="M842" s="11" t="n">
        <x:f>K842-L842</x:f>
        <x:v>4140</x:v>
      </x:c>
      <x:c r="N842" s="8" t="str">
        <x:v>Online</x:v>
      </x:c>
      <x:c r="O842" s="8" t="str">
        <x:v>Invoice</x:v>
      </x:c>
      <x:c r="P842" s="8" t="str">
        <x:v>Closed Won</x:v>
      </x:c>
    </x:row>
    <x:row r="843">
      <x:c r="A843" s="8" t="str">
        <x:v>ORD-2025842</x:v>
      </x:c>
      <x:c r="B843" s="9" t="n">
        <x:v>45662</x:v>
      </x:c>
      <x:c r="C843" s="8" t="str">
        <x:v>East</x:v>
      </x:c>
      <x:c r="D843" s="8" t="str">
        <x:v>Ethan Garcia</x:v>
      </x:c>
      <x:c r="E843" s="8" t="str">
        <x:v>Harbor LLC</x:v>
      </x:c>
      <x:c r="F843" s="8" t="str">
        <x:v>Hardware</x:v>
      </x:c>
      <x:c r="G843" s="8" t="str">
        <x:v>Dock Station</x:v>
      </x:c>
      <x:c r="H843" s="10" t="n">
        <x:v>13</x:v>
      </x:c>
      <x:c r="I843" s="11" t="n">
        <x:v>180</x:v>
      </x:c>
      <x:c r="J843" s="12" t="n">
        <x:v>0.05</x:v>
      </x:c>
      <x:c r="K843" s="11" t="n">
        <x:f>H843*I843*(1-J843)</x:f>
        <x:v>2223</x:v>
      </x:c>
      <x:c r="L843" s="11" t="n">
        <x:f>H843*(I843*0.62)</x:f>
        <x:v>1450.8</x:v>
      </x:c>
      <x:c r="M843" s="11" t="n">
        <x:f>K843-L843</x:f>
        <x:v>772.2</x:v>
      </x:c>
      <x:c r="N843" s="8" t="str">
        <x:v>Online</x:v>
      </x:c>
      <x:c r="O843" s="8" t="str">
        <x:v>Credit Card</x:v>
      </x:c>
      <x:c r="P843" s="8" t="str">
        <x:v>Pending</x:v>
      </x:c>
    </x:row>
    <x:row r="844">
      <x:c r="A844" s="8" t="str">
        <x:v>ORD-2025843</x:v>
      </x:c>
      <x:c r="B844" s="9" t="n">
        <x:v>45774</x:v>
      </x:c>
      <x:c r="C844" s="8" t="str">
        <x:v>South</x:v>
      </x:c>
      <x:c r="D844" s="8" t="str">
        <x:v>Mia Johnson</x:v>
      </x:c>
      <x:c r="E844" s="8" t="str">
        <x:v>NorthStar LLC</x:v>
      </x:c>
      <x:c r="F844" s="8" t="str">
        <x:v>Hardware</x:v>
      </x:c>
      <x:c r="G844" s="8" t="str">
        <x:v>Monitor 27</x:v>
      </x:c>
      <x:c r="H844" s="10" t="n">
        <x:v>8</x:v>
      </x:c>
      <x:c r="I844" s="11" t="n">
        <x:v>320</x:v>
      </x:c>
      <x:c r="J844" s="12" t="n">
        <x:v>0.1</x:v>
      </x:c>
      <x:c r="K844" s="11" t="n">
        <x:f>H844*I844*(1-J844)</x:f>
        <x:v>2304</x:v>
      </x:c>
      <x:c r="L844" s="11" t="n">
        <x:f>H844*(I844*0.62)</x:f>
        <x:v>1587.2</x:v>
      </x:c>
      <x:c r="M844" s="11" t="n">
        <x:f>K844-L844</x:f>
        <x:v>716.8</x:v>
      </x:c>
      <x:c r="N844" s="8" t="str">
        <x:v>Online</x:v>
      </x:c>
      <x:c r="O844" s="8" t="str">
        <x:v>PayPal</x:v>
      </x:c>
      <x:c r="P844" s="8" t="str">
        <x:v>Shipped</x:v>
      </x:c>
    </x:row>
    <x:row r="845">
      <x:c r="A845" s="8" t="str">
        <x:v>ORD-2025844</x:v>
      </x:c>
      <x:c r="B845" s="9" t="n">
        <x:v>45701</x:v>
      </x:c>
      <x:c r="C845" s="8" t="str">
        <x:v>East</x:v>
      </x:c>
      <x:c r="D845" s="8" t="str">
        <x:v>Mia Johnson</x:v>
      </x:c>
      <x:c r="E845" s="8" t="str">
        <x:v>RedStone Co</x:v>
      </x:c>
      <x:c r="F845" s="8" t="str">
        <x:v>Accessories</x:v>
      </x:c>
      <x:c r="G845" s="8" t="str">
        <x:v>Webcam HD</x:v>
      </x:c>
      <x:c r="H845" s="10" t="n">
        <x:v>25</x:v>
      </x:c>
      <x:c r="I845" s="11" t="n">
        <x:v>110</x:v>
      </x:c>
      <x:c r="J845" s="12" t="n">
        <x:v>0.15</x:v>
      </x:c>
      <x:c r="K845" s="11" t="n">
        <x:f>H845*I845*(1-J845)</x:f>
        <x:v>2337.5</x:v>
      </x:c>
      <x:c r="L845" s="11" t="n">
        <x:f>H845*(I845*0.62)</x:f>
        <x:v>1705</x:v>
      </x:c>
      <x:c r="M845" s="11" t="n">
        <x:f>K845-L845</x:f>
        <x:v>632.5</x:v>
      </x:c>
      <x:c r="N845" s="8" t="str">
        <x:v>Partner</x:v>
      </x:c>
      <x:c r="O845" s="8" t="str">
        <x:v>Bank Transfer</x:v>
      </x:c>
      <x:c r="P845" s="8" t="str">
        <x:v>Closed Won</x:v>
      </x:c>
    </x:row>
    <x:row r="846">
      <x:c r="A846" s="8" t="str">
        <x:v>ORD-2025845</x:v>
      </x:c>
      <x:c r="B846" s="9" t="n">
        <x:v>45729</x:v>
      </x:c>
      <x:c r="C846" s="8" t="str">
        <x:v>Central</x:v>
      </x:c>
      <x:c r="D846" s="8" t="str">
        <x:v>Noah Davis</x:v>
      </x:c>
      <x:c r="E846" s="8" t="str">
        <x:v>Vertex Group</x:v>
      </x:c>
      <x:c r="F846" s="8" t="str">
        <x:v>Software</x:v>
      </x:c>
      <x:c r="G846" s="8" t="str">
        <x:v>HR Suite</x:v>
      </x:c>
      <x:c r="H846" s="10" t="n">
        <x:v>24</x:v>
      </x:c>
      <x:c r="I846" s="11" t="n">
        <x:v>950</x:v>
      </x:c>
      <x:c r="J846" s="12" t="n">
        <x:v>0</x:v>
      </x:c>
      <x:c r="K846" s="11" t="n">
        <x:f>H846*I846*(1-J846)</x:f>
        <x:v>22800</x:v>
      </x:c>
      <x:c r="L846" s="11" t="n">
        <x:f>H846*(I846*0.62)</x:f>
        <x:v>14136</x:v>
      </x:c>
      <x:c r="M846" s="11" t="n">
        <x:f>K846-L846</x:f>
        <x:v>8664</x:v>
      </x:c>
      <x:c r="N846" s="8" t="str">
        <x:v>Partner</x:v>
      </x:c>
      <x:c r="O846" s="8" t="str">
        <x:v>Invoice</x:v>
      </x:c>
      <x:c r="P846" s="8" t="str">
        <x:v>Closed Won</x:v>
      </x:c>
    </x:row>
    <x:row r="847">
      <x:c r="A847" s="8" t="str">
        <x:v>ORD-2025846</x:v>
      </x:c>
      <x:c r="B847" s="9" t="n">
        <x:v>46009</x:v>
      </x:c>
      <x:c r="C847" s="8" t="str">
        <x:v>West</x:v>
      </x:c>
      <x:c r="D847" s="8" t="str">
        <x:v>Mason Lee</x:v>
      </x:c>
      <x:c r="E847" s="8" t="str">
        <x:v>Vertex Co</x:v>
      </x:c>
      <x:c r="F847" s="8" t="str">
        <x:v>Accessories</x:v>
      </x:c>
      <x:c r="G847" s="8" t="str">
        <x:v>Headset</x:v>
      </x:c>
      <x:c r="H847" s="10" t="n">
        <x:v>11</x:v>
      </x:c>
      <x:c r="I847" s="11" t="n">
        <x:v>85</x:v>
      </x:c>
      <x:c r="J847" s="12" t="n">
        <x:v>0.1</x:v>
      </x:c>
      <x:c r="K847" s="11" t="n">
        <x:f>H847*I847*(1-J847)</x:f>
        <x:v>841.5</x:v>
      </x:c>
      <x:c r="L847" s="11" t="n">
        <x:f>H847*(I847*0.62)</x:f>
        <x:v>579.7</x:v>
      </x:c>
      <x:c r="M847" s="11" t="n">
        <x:f>K847-L847</x:f>
        <x:v>261.79999999999995</x:v>
      </x:c>
      <x:c r="N847" s="8" t="str">
        <x:v>Direct</x:v>
      </x:c>
      <x:c r="O847" s="8" t="str">
        <x:v>Credit Card</x:v>
      </x:c>
      <x:c r="P847" s="8" t="str">
        <x:v>Cancelled</x:v>
      </x:c>
    </x:row>
    <x:row r="848">
      <x:c r="A848" s="8" t="str">
        <x:v>ORD-2025847</x:v>
      </x:c>
      <x:c r="B848" s="9" t="n">
        <x:v>45948</x:v>
      </x:c>
      <x:c r="C848" s="8" t="str">
        <x:v>Central</x:v>
      </x:c>
      <x:c r="D848" s="8" t="str">
        <x:v>Emma Martin</x:v>
      </x:c>
      <x:c r="E848" s="8" t="str">
        <x:v>Ironwood Inc</x:v>
      </x:c>
      <x:c r="F848" s="8" t="str">
        <x:v>Hardware</x:v>
      </x:c>
      <x:c r="G848" s="8" t="str">
        <x:v>Dock Station</x:v>
      </x:c>
      <x:c r="H848" s="10" t="n">
        <x:v>13</x:v>
      </x:c>
      <x:c r="I848" s="11" t="n">
        <x:v>180</x:v>
      </x:c>
      <x:c r="J848" s="12" t="n">
        <x:v>0.05</x:v>
      </x:c>
      <x:c r="K848" s="11" t="n">
        <x:f>H848*I848*(1-J848)</x:f>
        <x:v>2223</x:v>
      </x:c>
      <x:c r="L848" s="11" t="n">
        <x:f>H848*(I848*0.62)</x:f>
        <x:v>1450.8</x:v>
      </x:c>
      <x:c r="M848" s="11" t="n">
        <x:f>K848-L848</x:f>
        <x:v>772.2</x:v>
      </x:c>
      <x:c r="N848" s="8" t="str">
        <x:v>Direct</x:v>
      </x:c>
      <x:c r="O848" s="8" t="str">
        <x:v>PayPal</x:v>
      </x:c>
      <x:c r="P848" s="8" t="str">
        <x:v>Closed Won</x:v>
      </x:c>
    </x:row>
    <x:row r="849">
      <x:c r="A849" s="8" t="str">
        <x:v>ORD-2025848</x:v>
      </x:c>
      <x:c r="B849" s="9" t="n">
        <x:v>45901</x:v>
      </x:c>
      <x:c r="C849" s="8" t="str">
        <x:v>North</x:v>
      </x:c>
      <x:c r="D849" s="8" t="str">
        <x:v>Sophia Kim</x:v>
      </x:c>
      <x:c r="E849" s="8" t="str">
        <x:v>Ironwood LLC</x:v>
      </x:c>
      <x:c r="F849" s="8" t="str">
        <x:v>Accessories</x:v>
      </x:c>
      <x:c r="G849" s="8" t="str">
        <x:v>Keyboard Pro</x:v>
      </x:c>
      <x:c r="H849" s="10" t="n">
        <x:v>15</x:v>
      </x:c>
      <x:c r="I849" s="11" t="n">
        <x:v>95</x:v>
      </x:c>
      <x:c r="J849" s="12" t="n">
        <x:v>0.15</x:v>
      </x:c>
      <x:c r="K849" s="11" t="n">
        <x:f>H849*I849*(1-J849)</x:f>
        <x:v>1211.25</x:v>
      </x:c>
      <x:c r="L849" s="11" t="n">
        <x:f>H849*(I849*0.62)</x:f>
        <x:v>883.5</x:v>
      </x:c>
      <x:c r="M849" s="11" t="n">
        <x:f>K849-L849</x:f>
        <x:v>327.75</x:v>
      </x:c>
      <x:c r="N849" s="8" t="str">
        <x:v>Partner</x:v>
      </x:c>
      <x:c r="O849" s="8" t="str">
        <x:v>Credit Card</x:v>
      </x:c>
      <x:c r="P849" s="8" t="str">
        <x:v>Closed Won</x:v>
      </x:c>
    </x:row>
    <x:row r="850">
      <x:c r="A850" s="8" t="str">
        <x:v>ORD-2025849</x:v>
      </x:c>
      <x:c r="B850" s="9" t="n">
        <x:v>46010</x:v>
      </x:c>
      <x:c r="C850" s="8" t="str">
        <x:v>Central</x:v>
      </x:c>
      <x:c r="D850" s="8" t="str">
        <x:v>Olivia Wilson</x:v>
      </x:c>
      <x:c r="E850" s="8" t="str">
        <x:v>Acme Group</x:v>
      </x:c>
      <x:c r="F850" s="8" t="str">
        <x:v>Hardware</x:v>
      </x:c>
      <x:c r="G850" s="8" t="str">
        <x:v>Laptop X</x:v>
      </x:c>
      <x:c r="H850" s="10" t="n">
        <x:v>6</x:v>
      </x:c>
      <x:c r="I850" s="11" t="n">
        <x:v>1500</x:v>
      </x:c>
      <x:c r="J850" s="12" t="n">
        <x:v>0</x:v>
      </x:c>
      <x:c r="K850" s="11" t="n">
        <x:f>H850*I850*(1-J850)</x:f>
        <x:v>9000</x:v>
      </x:c>
      <x:c r="L850" s="11" t="n">
        <x:f>H850*(I850*0.62)</x:f>
        <x:v>5580</x:v>
      </x:c>
      <x:c r="M850" s="11" t="n">
        <x:f>K850-L850</x:f>
        <x:v>3420</x:v>
      </x:c>
      <x:c r="N850" s="8" t="str">
        <x:v>Direct</x:v>
      </x:c>
      <x:c r="O850" s="8" t="str">
        <x:v>PayPal</x:v>
      </x:c>
      <x:c r="P850" s="8" t="str">
        <x:v>Closed Won</x:v>
      </x:c>
    </x:row>
    <x:row r="851">
      <x:c r="A851" s="8" t="str">
        <x:v>ORD-2025850</x:v>
      </x:c>
      <x:c r="B851" s="9" t="n">
        <x:v>45995</x:v>
      </x:c>
      <x:c r="C851" s="8" t="str">
        <x:v>Central</x:v>
      </x:c>
      <x:c r="D851" s="8" t="str">
        <x:v>Liam Chen</x:v>
      </x:c>
      <x:c r="E851" s="8" t="str">
        <x:v>GoldenGate Co</x:v>
      </x:c>
      <x:c r="F851" s="8" t="str">
        <x:v>Hardware</x:v>
      </x:c>
      <x:c r="G851" s="8" t="str">
        <x:v>Dock Station</x:v>
      </x:c>
      <x:c r="H851" s="10" t="n">
        <x:v>2</x:v>
      </x:c>
      <x:c r="I851" s="11" t="n">
        <x:v>180</x:v>
      </x:c>
      <x:c r="J851" s="12" t="n">
        <x:v>0</x:v>
      </x:c>
      <x:c r="K851" s="11" t="n">
        <x:f>H851*I851*(1-J851)</x:f>
        <x:v>360</x:v>
      </x:c>
      <x:c r="L851" s="11" t="n">
        <x:f>H851*(I851*0.62)</x:f>
        <x:v>223.2</x:v>
      </x:c>
      <x:c r="M851" s="11" t="n">
        <x:f>K851-L851</x:f>
        <x:v>136.8</x:v>
      </x:c>
      <x:c r="N851" s="8" t="str">
        <x:v>Online</x:v>
      </x:c>
      <x:c r="O851" s="8" t="str">
        <x:v>Credit Card</x:v>
      </x:c>
      <x:c r="P851" s="8" t="str">
        <x:v>Closed Won</x:v>
      </x:c>
    </x:row>
    <x:row r="852">
      <x:c r="A852" s="8" t="str">
        <x:v>ORD-2025851</x:v>
      </x:c>
      <x:c r="B852" s="9" t="n">
        <x:v>45738</x:v>
      </x:c>
      <x:c r="C852" s="8" t="str">
        <x:v>North</x:v>
      </x:c>
      <x:c r="D852" s="8" t="str">
        <x:v>Noah Davis</x:v>
      </x:c>
      <x:c r="E852" s="8" t="str">
        <x:v>Maple LLC</x:v>
      </x:c>
      <x:c r="F852" s="8" t="str">
        <x:v>Accessories</x:v>
      </x:c>
      <x:c r="G852" s="8" t="str">
        <x:v>Headset</x:v>
      </x:c>
      <x:c r="H852" s="10" t="n">
        <x:v>14</x:v>
      </x:c>
      <x:c r="I852" s="11" t="n">
        <x:v>85</x:v>
      </x:c>
      <x:c r="J852" s="12" t="n">
        <x:v>0.05</x:v>
      </x:c>
      <x:c r="K852" s="11" t="n">
        <x:f>H852*I852*(1-J852)</x:f>
        <x:v>1130.5</x:v>
      </x:c>
      <x:c r="L852" s="11" t="n">
        <x:f>H852*(I852*0.62)</x:f>
        <x:v>737.8000000000001</x:v>
      </x:c>
      <x:c r="M852" s="11" t="n">
        <x:f>K852-L852</x:f>
        <x:v>392.69999999999993</x:v>
      </x:c>
      <x:c r="N852" s="8" t="str">
        <x:v>Online</x:v>
      </x:c>
      <x:c r="O852" s="8" t="str">
        <x:v>Credit Card</x:v>
      </x:c>
      <x:c r="P852" s="8" t="str">
        <x:v>Closed Won</x:v>
      </x:c>
    </x:row>
    <x:row r="853">
      <x:c r="A853" s="8" t="str">
        <x:v>ORD-2025852</x:v>
      </x:c>
      <x:c r="B853" s="9" t="n">
        <x:v>45763</x:v>
      </x:c>
      <x:c r="C853" s="8" t="str">
        <x:v>East</x:v>
      </x:c>
      <x:c r="D853" s="8" t="str">
        <x:v>Lucas Brown</x:v>
      </x:c>
      <x:c r="E853" s="8" t="str">
        <x:v>NorthStar LLC</x:v>
      </x:c>
      <x:c r="F853" s="8" t="str">
        <x:v>Hardware</x:v>
      </x:c>
      <x:c r="G853" s="8" t="str">
        <x:v>Tablet Air</x:v>
      </x:c>
      <x:c r="H853" s="10" t="n">
        <x:v>6</x:v>
      </x:c>
      <x:c r="I853" s="11" t="n">
        <x:v>820</x:v>
      </x:c>
      <x:c r="J853" s="12" t="n">
        <x:v>0.1</x:v>
      </x:c>
      <x:c r="K853" s="11" t="n">
        <x:f>H853*I853*(1-J853)</x:f>
        <x:v>4428</x:v>
      </x:c>
      <x:c r="L853" s="11" t="n">
        <x:f>H853*(I853*0.62)</x:f>
        <x:v>3050.3999999999996</x:v>
      </x:c>
      <x:c r="M853" s="11" t="n">
        <x:f>K853-L853</x:f>
        <x:v>1377.6000000000004</x:v>
      </x:c>
      <x:c r="N853" s="8" t="str">
        <x:v>Online</x:v>
      </x:c>
      <x:c r="O853" s="8" t="str">
        <x:v>Invoice</x:v>
      </x:c>
      <x:c r="P853" s="8" t="str">
        <x:v>Shipped</x:v>
      </x:c>
    </x:row>
    <x:row r="854">
      <x:c r="A854" s="8" t="str">
        <x:v>ORD-2025853</x:v>
      </x:c>
      <x:c r="B854" s="9" t="n">
        <x:v>45761</x:v>
      </x:c>
      <x:c r="C854" s="8" t="str">
        <x:v>North</x:v>
      </x:c>
      <x:c r="D854" s="8" t="str">
        <x:v>Noah Davis</x:v>
      </x:c>
      <x:c r="E854" s="8" t="str">
        <x:v>GoldenGate Inc</x:v>
      </x:c>
      <x:c r="F854" s="8" t="str">
        <x:v>Accessories</x:v>
      </x:c>
      <x:c r="G854" s="8" t="str">
        <x:v>Webcam HD</x:v>
      </x:c>
      <x:c r="H854" s="10" t="n">
        <x:v>3</x:v>
      </x:c>
      <x:c r="I854" s="11" t="n">
        <x:v>110</x:v>
      </x:c>
      <x:c r="J854" s="12" t="n">
        <x:v>0.2</x:v>
      </x:c>
      <x:c r="K854" s="11" t="n">
        <x:f>H854*I854*(1-J854)</x:f>
        <x:v>264</x:v>
      </x:c>
      <x:c r="L854" s="11" t="n">
        <x:f>H854*(I854*0.62)</x:f>
        <x:v>204.60000000000002</x:v>
      </x:c>
      <x:c r="M854" s="11" t="n">
        <x:f>K854-L854</x:f>
        <x:v>59.39999999999998</x:v>
      </x:c>
      <x:c r="N854" s="8" t="str">
        <x:v>Partner</x:v>
      </x:c>
      <x:c r="O854" s="8" t="str">
        <x:v>Bank Transfer</x:v>
      </x:c>
      <x:c r="P854" s="8" t="str">
        <x:v>Pending</x:v>
      </x:c>
    </x:row>
    <x:row r="855">
      <x:c r="A855" s="8" t="str">
        <x:v>ORD-2025854</x:v>
      </x:c>
      <x:c r="B855" s="9" t="n">
        <x:v>45894</x:v>
      </x:c>
      <x:c r="C855" s="8" t="str">
        <x:v>Central</x:v>
      </x:c>
      <x:c r="D855" s="8" t="str">
        <x:v>Ava Patel</x:v>
      </x:c>
      <x:c r="E855" s="8" t="str">
        <x:v>BlueSky Group</x:v>
      </x:c>
      <x:c r="F855" s="8" t="str">
        <x:v>Accessories</x:v>
      </x:c>
      <x:c r="G855" s="8" t="str">
        <x:v>Headset</x:v>
      </x:c>
      <x:c r="H855" s="10" t="n">
        <x:v>10</x:v>
      </x:c>
      <x:c r="I855" s="11" t="n">
        <x:v>85</x:v>
      </x:c>
      <x:c r="J855" s="12" t="n">
        <x:v>0.15</x:v>
      </x:c>
      <x:c r="K855" s="11" t="n">
        <x:f>H855*I855*(1-J855)</x:f>
        <x:v>722.5</x:v>
      </x:c>
      <x:c r="L855" s="11" t="n">
        <x:f>H855*(I855*0.62)</x:f>
        <x:v>527</x:v>
      </x:c>
      <x:c r="M855" s="11" t="n">
        <x:f>K855-L855</x:f>
        <x:v>195.5</x:v>
      </x:c>
      <x:c r="N855" s="8" t="str">
        <x:v>Partner</x:v>
      </x:c>
      <x:c r="O855" s="8" t="str">
        <x:v>Invoice</x:v>
      </x:c>
      <x:c r="P855" s="8" t="str">
        <x:v>Shipped</x:v>
      </x:c>
    </x:row>
    <x:row r="856">
      <x:c r="A856" s="8" t="str">
        <x:v>ORD-2025855</x:v>
      </x:c>
      <x:c r="B856" s="9" t="n">
        <x:v>45971</x:v>
      </x:c>
      <x:c r="C856" s="8" t="str">
        <x:v>South</x:v>
      </x:c>
      <x:c r="D856" s="8" t="str">
        <x:v>Lucas Brown</x:v>
      </x:c>
      <x:c r="E856" s="8" t="str">
        <x:v>Cedar Group</x:v>
      </x:c>
      <x:c r="F856" s="8" t="str">
        <x:v>Services</x:v>
      </x:c>
      <x:c r="G856" s="8" t="str">
        <x:v>Consulting Day</x:v>
      </x:c>
      <x:c r="H856" s="10" t="n">
        <x:v>6</x:v>
      </x:c>
      <x:c r="I856" s="11" t="n">
        <x:v>1400</x:v>
      </x:c>
      <x:c r="J856" s="12" t="n">
        <x:v>0.1</x:v>
      </x:c>
      <x:c r="K856" s="11" t="n">
        <x:f>H856*I856*(1-J856)</x:f>
        <x:v>7560</x:v>
      </x:c>
      <x:c r="L856" s="11" t="n">
        <x:f>H856*(I856*0.62)</x:f>
        <x:v>5208</x:v>
      </x:c>
      <x:c r="M856" s="11" t="n">
        <x:f>K856-L856</x:f>
        <x:v>2352</x:v>
      </x:c>
      <x:c r="N856" s="8" t="str">
        <x:v>Online</x:v>
      </x:c>
      <x:c r="O856" s="8" t="str">
        <x:v>PayPal</x:v>
      </x:c>
      <x:c r="P856" s="8" t="str">
        <x:v>Pending</x:v>
      </x:c>
    </x:row>
    <x:row r="857">
      <x:c r="A857" s="8" t="str">
        <x:v>ORD-2025856</x:v>
      </x:c>
      <x:c r="B857" s="9" t="n">
        <x:v>45859</x:v>
      </x:c>
      <x:c r="C857" s="8" t="str">
        <x:v>North</x:v>
      </x:c>
      <x:c r="D857" s="8" t="str">
        <x:v>Mia Johnson</x:v>
      </x:c>
      <x:c r="E857" s="8" t="str">
        <x:v>GreenLeaf LLC</x:v>
      </x:c>
      <x:c r="F857" s="8" t="str">
        <x:v>Hardware</x:v>
      </x:c>
      <x:c r="G857" s="8" t="str">
        <x:v>Laptop X</x:v>
      </x:c>
      <x:c r="H857" s="10" t="n">
        <x:v>9</x:v>
      </x:c>
      <x:c r="I857" s="11" t="n">
        <x:v>1500</x:v>
      </x:c>
      <x:c r="J857" s="12" t="n">
        <x:v>0.15</x:v>
      </x:c>
      <x:c r="K857" s="11" t="n">
        <x:f>H857*I857*(1-J857)</x:f>
        <x:v>11475</x:v>
      </x:c>
      <x:c r="L857" s="11" t="n">
        <x:f>H857*(I857*0.62)</x:f>
        <x:v>8370</x:v>
      </x:c>
      <x:c r="M857" s="11" t="n">
        <x:f>K857-L857</x:f>
        <x:v>3105</x:v>
      </x:c>
      <x:c r="N857" s="8" t="str">
        <x:v>Online</x:v>
      </x:c>
      <x:c r="O857" s="8" t="str">
        <x:v>Invoice</x:v>
      </x:c>
      <x:c r="P857" s="8" t="str">
        <x:v>Shipped</x:v>
      </x:c>
    </x:row>
    <x:row r="858">
      <x:c r="A858" s="8" t="str">
        <x:v>ORD-2025857</x:v>
      </x:c>
      <x:c r="B858" s="9" t="n">
        <x:v>45910</x:v>
      </x:c>
      <x:c r="C858" s="8" t="str">
        <x:v>West</x:v>
      </x:c>
      <x:c r="D858" s="8" t="str">
        <x:v>Mason Lee</x:v>
      </x:c>
      <x:c r="E858" s="8" t="str">
        <x:v>Pioneer Group</x:v>
      </x:c>
      <x:c r="F858" s="8" t="str">
        <x:v>Software</x:v>
      </x:c>
      <x:c r="G858" s="8" t="str">
        <x:v>Analytics Cloud</x:v>
      </x:c>
      <x:c r="H858" s="10" t="n">
        <x:v>12</x:v>
      </x:c>
      <x:c r="I858" s="11" t="n">
        <x:v>1800</x:v>
      </x:c>
      <x:c r="J858" s="12" t="n">
        <x:v>0</x:v>
      </x:c>
      <x:c r="K858" s="11" t="n">
        <x:f>H858*I858*(1-J858)</x:f>
        <x:v>21600</x:v>
      </x:c>
      <x:c r="L858" s="11" t="n">
        <x:f>H858*(I858*0.62)</x:f>
        <x:v>13392</x:v>
      </x:c>
      <x:c r="M858" s="11" t="n">
        <x:f>K858-L858</x:f>
        <x:v>8208</x:v>
      </x:c>
      <x:c r="N858" s="8" t="str">
        <x:v>Direct</x:v>
      </x:c>
      <x:c r="O858" s="8" t="str">
        <x:v>Invoice</x:v>
      </x:c>
      <x:c r="P858" s="8" t="str">
        <x:v>Closed Won</x:v>
      </x:c>
    </x:row>
    <x:row r="859">
      <x:c r="A859" s="8" t="str">
        <x:v>ORD-2025858</x:v>
      </x:c>
      <x:c r="B859" s="9" t="n">
        <x:v>45764</x:v>
      </x:c>
      <x:c r="C859" s="8" t="str">
        <x:v>Central</x:v>
      </x:c>
      <x:c r="D859" s="8" t="str">
        <x:v>Ava Patel</x:v>
      </x:c>
      <x:c r="E859" s="8" t="str">
        <x:v>GoldenGate Group</x:v>
      </x:c>
      <x:c r="F859" s="8" t="str">
        <x:v>Hardware</x:v>
      </x:c>
      <x:c r="G859" s="8" t="str">
        <x:v>Dock Station</x:v>
      </x:c>
      <x:c r="H859" s="10" t="n">
        <x:v>1</x:v>
      </x:c>
      <x:c r="I859" s="11" t="n">
        <x:v>180</x:v>
      </x:c>
      <x:c r="J859" s="12" t="n">
        <x:v>0</x:v>
      </x:c>
      <x:c r="K859" s="11" t="n">
        <x:f>H859*I859*(1-J859)</x:f>
        <x:v>180</x:v>
      </x:c>
      <x:c r="L859" s="11" t="n">
        <x:f>H859*(I859*0.62)</x:f>
        <x:v>111.6</x:v>
      </x:c>
      <x:c r="M859" s="11" t="n">
        <x:f>K859-L859</x:f>
        <x:v>68.4</x:v>
      </x:c>
      <x:c r="N859" s="8" t="str">
        <x:v>Online</x:v>
      </x:c>
      <x:c r="O859" s="8" t="str">
        <x:v>PayPal</x:v>
      </x:c>
      <x:c r="P859" s="8" t="str">
        <x:v>Closed Won</x:v>
      </x:c>
    </x:row>
    <x:row r="860">
      <x:c r="A860" s="8" t="str">
        <x:v>ORD-2025859</x:v>
      </x:c>
      <x:c r="B860" s="9" t="n">
        <x:v>45861</x:v>
      </x:c>
      <x:c r="C860" s="8" t="str">
        <x:v>North</x:v>
      </x:c>
      <x:c r="D860" s="8" t="str">
        <x:v>Ava Patel</x:v>
      </x:c>
      <x:c r="E860" s="8" t="str">
        <x:v>Prime LLC</x:v>
      </x:c>
      <x:c r="F860" s="8" t="str">
        <x:v>Accessories</x:v>
      </x:c>
      <x:c r="G860" s="8" t="str">
        <x:v>Keyboard Pro</x:v>
      </x:c>
      <x:c r="H860" s="10" t="n">
        <x:v>4</x:v>
      </x:c>
      <x:c r="I860" s="11" t="n">
        <x:v>95</x:v>
      </x:c>
      <x:c r="J860" s="12" t="n">
        <x:v>0.15</x:v>
      </x:c>
      <x:c r="K860" s="11" t="n">
        <x:f>H860*I860*(1-J860)</x:f>
        <x:v>323</x:v>
      </x:c>
      <x:c r="L860" s="11" t="n">
        <x:f>H860*(I860*0.62)</x:f>
        <x:v>235.6</x:v>
      </x:c>
      <x:c r="M860" s="11" t="n">
        <x:f>K860-L860</x:f>
        <x:v>87.4</x:v>
      </x:c>
      <x:c r="N860" s="8" t="str">
        <x:v>Direct</x:v>
      </x:c>
      <x:c r="O860" s="8" t="str">
        <x:v>Invoice</x:v>
      </x:c>
      <x:c r="P860" s="8" t="str">
        <x:v>Shipped</x:v>
      </x:c>
    </x:row>
    <x:row r="861">
      <x:c r="A861" s="8" t="str">
        <x:v>ORD-2025860</x:v>
      </x:c>
      <x:c r="B861" s="9" t="n">
        <x:v>45894</x:v>
      </x:c>
      <x:c r="C861" s="8" t="str">
        <x:v>North</x:v>
      </x:c>
      <x:c r="D861" s="8" t="str">
        <x:v>Liam Chen</x:v>
      </x:c>
      <x:c r="E861" s="8" t="str">
        <x:v>Maple Co</x:v>
      </x:c>
      <x:c r="F861" s="8" t="str">
        <x:v>Accessories</x:v>
      </x:c>
      <x:c r="G861" s="8" t="str">
        <x:v>Headset</x:v>
      </x:c>
      <x:c r="H861" s="10" t="n">
        <x:v>22</x:v>
      </x:c>
      <x:c r="I861" s="11" t="n">
        <x:v>85</x:v>
      </x:c>
      <x:c r="J861" s="12" t="n">
        <x:v>0</x:v>
      </x:c>
      <x:c r="K861" s="11" t="n">
        <x:f>H861*I861*(1-J861)</x:f>
        <x:v>1870</x:v>
      </x:c>
      <x:c r="L861" s="11" t="n">
        <x:f>H861*(I861*0.62)</x:f>
        <x:v>1159.4</x:v>
      </x:c>
      <x:c r="M861" s="11" t="n">
        <x:f>K861-L861</x:f>
        <x:v>710.5999999999999</x:v>
      </x:c>
      <x:c r="N861" s="8" t="str">
        <x:v>Online</x:v>
      </x:c>
      <x:c r="O861" s="8" t="str">
        <x:v>PayPal</x:v>
      </x:c>
      <x:c r="P861" s="8" t="str">
        <x:v>Closed Won</x:v>
      </x:c>
    </x:row>
    <x:row r="862">
      <x:c r="A862" s="8" t="str">
        <x:v>ORD-2025861</x:v>
      </x:c>
      <x:c r="B862" s="9" t="n">
        <x:v>45745</x:v>
      </x:c>
      <x:c r="C862" s="8" t="str">
        <x:v>North</x:v>
      </x:c>
      <x:c r="D862" s="8" t="str">
        <x:v>Emma Martin</x:v>
      </x:c>
      <x:c r="E862" s="8" t="str">
        <x:v>Pioneer LLC</x:v>
      </x:c>
      <x:c r="F862" s="8" t="str">
        <x:v>Services</x:v>
      </x:c>
      <x:c r="G862" s="8" t="str">
        <x:v>Training</x:v>
      </x:c>
      <x:c r="H862" s="10" t="n">
        <x:v>6</x:v>
      </x:c>
      <x:c r="I862" s="11" t="n">
        <x:v>900</x:v>
      </x:c>
      <x:c r="J862" s="12" t="n">
        <x:v>0</x:v>
      </x:c>
      <x:c r="K862" s="11" t="n">
        <x:f>H862*I862*(1-J862)</x:f>
        <x:v>5400</x:v>
      </x:c>
      <x:c r="L862" s="11" t="n">
        <x:f>H862*(I862*0.62)</x:f>
        <x:v>3348</x:v>
      </x:c>
      <x:c r="M862" s="11" t="n">
        <x:f>K862-L862</x:f>
        <x:v>2052</x:v>
      </x:c>
      <x:c r="N862" s="8" t="str">
        <x:v>Direct</x:v>
      </x:c>
      <x:c r="O862" s="8" t="str">
        <x:v>PayPal</x:v>
      </x:c>
      <x:c r="P862" s="8" t="str">
        <x:v>Closed Won</x:v>
      </x:c>
    </x:row>
    <x:row r="863">
      <x:c r="A863" s="8" t="str">
        <x:v>ORD-2025862</x:v>
      </x:c>
      <x:c r="B863" s="9" t="n">
        <x:v>45736</x:v>
      </x:c>
      <x:c r="C863" s="8" t="str">
        <x:v>West</x:v>
      </x:c>
      <x:c r="D863" s="8" t="str">
        <x:v>Sophia Kim</x:v>
      </x:c>
      <x:c r="E863" s="8" t="str">
        <x:v>GreenLeaf Co</x:v>
      </x:c>
      <x:c r="F863" s="8" t="str">
        <x:v>Software</x:v>
      </x:c>
      <x:c r="G863" s="8" t="str">
        <x:v>HR Suite</x:v>
      </x:c>
      <x:c r="H863" s="10" t="n">
        <x:v>7</x:v>
      </x:c>
      <x:c r="I863" s="11" t="n">
        <x:v>950</x:v>
      </x:c>
      <x:c r="J863" s="12" t="n">
        <x:v>0.15</x:v>
      </x:c>
      <x:c r="K863" s="11" t="n">
        <x:f>H863*I863*(1-J863)</x:f>
        <x:v>5652.5</x:v>
      </x:c>
      <x:c r="L863" s="11" t="n">
        <x:f>H863*(I863*0.62)</x:f>
        <x:v>4123</x:v>
      </x:c>
      <x:c r="M863" s="11" t="n">
        <x:f>K863-L863</x:f>
        <x:v>1529.5</x:v>
      </x:c>
      <x:c r="N863" s="8" t="str">
        <x:v>Direct</x:v>
      </x:c>
      <x:c r="O863" s="8" t="str">
        <x:v>Bank Transfer</x:v>
      </x:c>
      <x:c r="P863" s="8" t="str">
        <x:v>Closed Won</x:v>
      </x:c>
    </x:row>
    <x:row r="864">
      <x:c r="A864" s="8" t="str">
        <x:v>ORD-2025863</x:v>
      </x:c>
      <x:c r="B864" s="9" t="n">
        <x:v>45857</x:v>
      </x:c>
      <x:c r="C864" s="8" t="str">
        <x:v>East</x:v>
      </x:c>
      <x:c r="D864" s="8" t="str">
        <x:v>Olivia Wilson</x:v>
      </x:c>
      <x:c r="E864" s="8" t="str">
        <x:v>Summit Co</x:v>
      </x:c>
      <x:c r="F864" s="8" t="str">
        <x:v>Software</x:v>
      </x:c>
      <x:c r="G864" s="8" t="str">
        <x:v>CRM Pro</x:v>
      </x:c>
      <x:c r="H864" s="10" t="n">
        <x:v>20</x:v>
      </x:c>
      <x:c r="I864" s="11" t="n">
        <x:v>1200</x:v>
      </x:c>
      <x:c r="J864" s="12" t="n">
        <x:v>0</x:v>
      </x:c>
      <x:c r="K864" s="11" t="n">
        <x:f>H864*I864*(1-J864)</x:f>
        <x:v>24000</x:v>
      </x:c>
      <x:c r="L864" s="11" t="n">
        <x:f>H864*(I864*0.62)</x:f>
        <x:v>14880</x:v>
      </x:c>
      <x:c r="M864" s="11" t="n">
        <x:f>K864-L864</x:f>
        <x:v>9120</x:v>
      </x:c>
      <x:c r="N864" s="8" t="str">
        <x:v>Direct</x:v>
      </x:c>
      <x:c r="O864" s="8" t="str">
        <x:v>PayPal</x:v>
      </x:c>
      <x:c r="P864" s="8" t="str">
        <x:v>Shipped</x:v>
      </x:c>
    </x:row>
    <x:row r="865">
      <x:c r="A865" s="8" t="str">
        <x:v>ORD-2025864</x:v>
      </x:c>
      <x:c r="B865" s="9" t="n">
        <x:v>45780</x:v>
      </x:c>
      <x:c r="C865" s="8" t="str">
        <x:v>South</x:v>
      </x:c>
      <x:c r="D865" s="8" t="str">
        <x:v>Liam Chen</x:v>
      </x:c>
      <x:c r="E865" s="8" t="str">
        <x:v>Acme Co</x:v>
      </x:c>
      <x:c r="F865" s="8" t="str">
        <x:v>Hardware</x:v>
      </x:c>
      <x:c r="G865" s="8" t="str">
        <x:v>Dock Station</x:v>
      </x:c>
      <x:c r="H865" s="10" t="n">
        <x:v>14</x:v>
      </x:c>
      <x:c r="I865" s="11" t="n">
        <x:v>180</x:v>
      </x:c>
      <x:c r="J865" s="12" t="n">
        <x:v>0</x:v>
      </x:c>
      <x:c r="K865" s="11" t="n">
        <x:f>H865*I865*(1-J865)</x:f>
        <x:v>2520</x:v>
      </x:c>
      <x:c r="L865" s="11" t="n">
        <x:f>H865*(I865*0.62)</x:f>
        <x:v>1562.3999999999999</x:v>
      </x:c>
      <x:c r="M865" s="11" t="n">
        <x:f>K865-L865</x:f>
        <x:v>957.6000000000001</x:v>
      </x:c>
      <x:c r="N865" s="8" t="str">
        <x:v>Direct</x:v>
      </x:c>
      <x:c r="O865" s="8" t="str">
        <x:v>Invoice</x:v>
      </x:c>
      <x:c r="P865" s="8" t="str">
        <x:v>Returned</x:v>
      </x:c>
    </x:row>
    <x:row r="866">
      <x:c r="A866" s="8" t="str">
        <x:v>ORD-2025865</x:v>
      </x:c>
      <x:c r="B866" s="9" t="n">
        <x:v>45707</x:v>
      </x:c>
      <x:c r="C866" s="8" t="str">
        <x:v>South</x:v>
      </x:c>
      <x:c r="D866" s="8" t="str">
        <x:v>Noah Davis</x:v>
      </x:c>
      <x:c r="E866" s="8" t="str">
        <x:v>Summit Inc</x:v>
      </x:c>
      <x:c r="F866" s="8" t="str">
        <x:v>Software</x:v>
      </x:c>
      <x:c r="G866" s="8" t="str">
        <x:v>Analytics Cloud</x:v>
      </x:c>
      <x:c r="H866" s="10" t="n">
        <x:v>14</x:v>
      </x:c>
      <x:c r="I866" s="11" t="n">
        <x:v>1800</x:v>
      </x:c>
      <x:c r="J866" s="12" t="n">
        <x:v>0.1</x:v>
      </x:c>
      <x:c r="K866" s="11" t="n">
        <x:f>H866*I866*(1-J866)</x:f>
        <x:v>22680</x:v>
      </x:c>
      <x:c r="L866" s="11" t="n">
        <x:f>H866*(I866*0.62)</x:f>
        <x:v>15624</x:v>
      </x:c>
      <x:c r="M866" s="11" t="n">
        <x:f>K866-L866</x:f>
        <x:v>7056</x:v>
      </x:c>
      <x:c r="N866" s="8" t="str">
        <x:v>Direct</x:v>
      </x:c>
      <x:c r="O866" s="8" t="str">
        <x:v>Invoice</x:v>
      </x:c>
      <x:c r="P866" s="8" t="str">
        <x:v>Closed Won</x:v>
      </x:c>
    </x:row>
    <x:row r="867">
      <x:c r="A867" s="8" t="str">
        <x:v>ORD-2025866</x:v>
      </x:c>
      <x:c r="B867" s="9" t="n">
        <x:v>45935</x:v>
      </x:c>
      <x:c r="C867" s="8" t="str">
        <x:v>West</x:v>
      </x:c>
      <x:c r="D867" s="8" t="str">
        <x:v>Lucas Brown</x:v>
      </x:c>
      <x:c r="E867" s="8" t="str">
        <x:v>Pioneer Group</x:v>
      </x:c>
      <x:c r="F867" s="8" t="str">
        <x:v>Hardware</x:v>
      </x:c>
      <x:c r="G867" s="8" t="str">
        <x:v>Tablet Air</x:v>
      </x:c>
      <x:c r="H867" s="10" t="n">
        <x:v>8</x:v>
      </x:c>
      <x:c r="I867" s="11" t="n">
        <x:v>820</x:v>
      </x:c>
      <x:c r="J867" s="12" t="n">
        <x:v>0</x:v>
      </x:c>
      <x:c r="K867" s="11" t="n">
        <x:f>H867*I867*(1-J867)</x:f>
        <x:v>6560</x:v>
      </x:c>
      <x:c r="L867" s="11" t="n">
        <x:f>H867*(I867*0.62)</x:f>
        <x:v>4067.2</x:v>
      </x:c>
      <x:c r="M867" s="11" t="n">
        <x:f>K867-L867</x:f>
        <x:v>2492.8</x:v>
      </x:c>
      <x:c r="N867" s="8" t="str">
        <x:v>Direct</x:v>
      </x:c>
      <x:c r="O867" s="8" t="str">
        <x:v>Invoice</x:v>
      </x:c>
      <x:c r="P867" s="8" t="str">
        <x:v>Closed Won</x:v>
      </x:c>
    </x:row>
    <x:row r="868">
      <x:c r="A868" s="8" t="str">
        <x:v>ORD-2025867</x:v>
      </x:c>
      <x:c r="B868" s="9" t="n">
        <x:v>45992</x:v>
      </x:c>
      <x:c r="C868" s="8" t="str">
        <x:v>East</x:v>
      </x:c>
      <x:c r="D868" s="8" t="str">
        <x:v>Ava Patel</x:v>
      </x:c>
      <x:c r="E868" s="8" t="str">
        <x:v>SilverLine Inc</x:v>
      </x:c>
      <x:c r="F868" s="8" t="str">
        <x:v>Software</x:v>
      </x:c>
      <x:c r="G868" s="8" t="str">
        <x:v>ProjectFlow</x:v>
      </x:c>
      <x:c r="H868" s="10" t="n">
        <x:v>7</x:v>
      </x:c>
      <x:c r="I868" s="11" t="n">
        <x:v>700</x:v>
      </x:c>
      <x:c r="J868" s="12" t="n">
        <x:v>0.05</x:v>
      </x:c>
      <x:c r="K868" s="11" t="n">
        <x:f>H868*I868*(1-J868)</x:f>
        <x:v>4655</x:v>
      </x:c>
      <x:c r="L868" s="11" t="n">
        <x:f>H868*(I868*0.62)</x:f>
        <x:v>3038</x:v>
      </x:c>
      <x:c r="M868" s="11" t="n">
        <x:f>K868-L868</x:f>
        <x:v>1617</x:v>
      </x:c>
      <x:c r="N868" s="8" t="str">
        <x:v>Direct</x:v>
      </x:c>
      <x:c r="O868" s="8" t="str">
        <x:v>Credit Card</x:v>
      </x:c>
      <x:c r="P868" s="8" t="str">
        <x:v>Shipped</x:v>
      </x:c>
    </x:row>
    <x:row r="869">
      <x:c r="A869" s="8" t="str">
        <x:v>ORD-2025868</x:v>
      </x:c>
      <x:c r="B869" s="9" t="n">
        <x:v>45680</x:v>
      </x:c>
      <x:c r="C869" s="8" t="str">
        <x:v>North</x:v>
      </x:c>
      <x:c r="D869" s="8" t="str">
        <x:v>Mia Johnson</x:v>
      </x:c>
      <x:c r="E869" s="8" t="str">
        <x:v>RedStone LLC</x:v>
      </x:c>
      <x:c r="F869" s="8" t="str">
        <x:v>Services</x:v>
      </x:c>
      <x:c r="G869" s="8" t="str">
        <x:v>Support Plus</x:v>
      </x:c>
      <x:c r="H869" s="10" t="n">
        <x:v>10</x:v>
      </x:c>
      <x:c r="I869" s="11" t="n">
        <x:v>650</x:v>
      </x:c>
      <x:c r="J869" s="12" t="n">
        <x:v>0.2</x:v>
      </x:c>
      <x:c r="K869" s="11" t="n">
        <x:f>H869*I869*(1-J869)</x:f>
        <x:v>5200</x:v>
      </x:c>
      <x:c r="L869" s="11" t="n">
        <x:f>H869*(I869*0.62)</x:f>
        <x:v>4030</x:v>
      </x:c>
      <x:c r="M869" s="11" t="n">
        <x:f>K869-L869</x:f>
        <x:v>1170</x:v>
      </x:c>
      <x:c r="N869" s="8" t="str">
        <x:v>Online</x:v>
      </x:c>
      <x:c r="O869" s="8" t="str">
        <x:v>PayPal</x:v>
      </x:c>
      <x:c r="P869" s="8" t="str">
        <x:v>Cancelled</x:v>
      </x:c>
    </x:row>
    <x:row r="870">
      <x:c r="A870" s="8" t="str">
        <x:v>ORD-2025869</x:v>
      </x:c>
      <x:c r="B870" s="9" t="n">
        <x:v>45786</x:v>
      </x:c>
      <x:c r="C870" s="8" t="str">
        <x:v>North</x:v>
      </x:c>
      <x:c r="D870" s="8" t="str">
        <x:v>Emma Martin</x:v>
      </x:c>
      <x:c r="E870" s="8" t="str">
        <x:v>BrightPath Inc</x:v>
      </x:c>
      <x:c r="F870" s="8" t="str">
        <x:v>Software</x:v>
      </x:c>
      <x:c r="G870" s="8" t="str">
        <x:v>Analytics Cloud</x:v>
      </x:c>
      <x:c r="H870" s="10" t="n">
        <x:v>21</x:v>
      </x:c>
      <x:c r="I870" s="11" t="n">
        <x:v>1800</x:v>
      </x:c>
      <x:c r="J870" s="12" t="n">
        <x:v>0.15</x:v>
      </x:c>
      <x:c r="K870" s="11" t="n">
        <x:f>H870*I870*(1-J870)</x:f>
        <x:v>32130</x:v>
      </x:c>
      <x:c r="L870" s="11" t="n">
        <x:f>H870*(I870*0.62)</x:f>
        <x:v>23436</x:v>
      </x:c>
      <x:c r="M870" s="11" t="n">
        <x:f>K870-L870</x:f>
        <x:v>8694</x:v>
      </x:c>
      <x:c r="N870" s="8" t="str">
        <x:v>Partner</x:v>
      </x:c>
      <x:c r="O870" s="8" t="str">
        <x:v>Bank Transfer</x:v>
      </x:c>
      <x:c r="P870" s="8" t="str">
        <x:v>Closed Won</x:v>
      </x:c>
    </x:row>
    <x:row r="871">
      <x:c r="A871" s="8" t="str">
        <x:v>ORD-2025870</x:v>
      </x:c>
      <x:c r="B871" s="9" t="n">
        <x:v>45692</x:v>
      </x:c>
      <x:c r="C871" s="8" t="str">
        <x:v>East</x:v>
      </x:c>
      <x:c r="D871" s="8" t="str">
        <x:v>Ava Patel</x:v>
      </x:c>
      <x:c r="E871" s="8" t="str">
        <x:v>Nova Inc</x:v>
      </x:c>
      <x:c r="F871" s="8" t="str">
        <x:v>Services</x:v>
      </x:c>
      <x:c r="G871" s="8" t="str">
        <x:v>Consulting Day</x:v>
      </x:c>
      <x:c r="H871" s="10" t="n">
        <x:v>19</x:v>
      </x:c>
      <x:c r="I871" s="11" t="n">
        <x:v>1400</x:v>
      </x:c>
      <x:c r="J871" s="12" t="n">
        <x:v>0.05</x:v>
      </x:c>
      <x:c r="K871" s="11" t="n">
        <x:f>H871*I871*(1-J871)</x:f>
        <x:v>25270</x:v>
      </x:c>
      <x:c r="L871" s="11" t="n">
        <x:f>H871*(I871*0.62)</x:f>
        <x:v>16492</x:v>
      </x:c>
      <x:c r="M871" s="11" t="n">
        <x:f>K871-L871</x:f>
        <x:v>8778</x:v>
      </x:c>
      <x:c r="N871" s="8" t="str">
        <x:v>Partner</x:v>
      </x:c>
      <x:c r="O871" s="8" t="str">
        <x:v>Bank Transfer</x:v>
      </x:c>
      <x:c r="P871" s="8" t="str">
        <x:v>Pending</x:v>
      </x:c>
    </x:row>
    <x:row r="872">
      <x:c r="A872" s="8" t="str">
        <x:v>ORD-2025871</x:v>
      </x:c>
      <x:c r="B872" s="9" t="n">
        <x:v>45668</x:v>
      </x:c>
      <x:c r="C872" s="8" t="str">
        <x:v>Central</x:v>
      </x:c>
      <x:c r="D872" s="8" t="str">
        <x:v>Liam Chen</x:v>
      </x:c>
      <x:c r="E872" s="8" t="str">
        <x:v>Vertex Group</x:v>
      </x:c>
      <x:c r="F872" s="8" t="str">
        <x:v>Software</x:v>
      </x:c>
      <x:c r="G872" s="8" t="str">
        <x:v>Analytics Cloud</x:v>
      </x:c>
      <x:c r="H872" s="10" t="n">
        <x:v>8</x:v>
      </x:c>
      <x:c r="I872" s="11" t="n">
        <x:v>1800</x:v>
      </x:c>
      <x:c r="J872" s="12" t="n">
        <x:v>0.15</x:v>
      </x:c>
      <x:c r="K872" s="11" t="n">
        <x:f>H872*I872*(1-J872)</x:f>
        <x:v>12240</x:v>
      </x:c>
      <x:c r="L872" s="11" t="n">
        <x:f>H872*(I872*0.62)</x:f>
        <x:v>8928</x:v>
      </x:c>
      <x:c r="M872" s="11" t="n">
        <x:f>K872-L872</x:f>
        <x:v>3312</x:v>
      </x:c>
      <x:c r="N872" s="8" t="str">
        <x:v>Partner</x:v>
      </x:c>
      <x:c r="O872" s="8" t="str">
        <x:v>Bank Transfer</x:v>
      </x:c>
      <x:c r="P872" s="8" t="str">
        <x:v>Shipped</x:v>
      </x:c>
    </x:row>
    <x:row r="873">
      <x:c r="A873" s="8" t="str">
        <x:v>ORD-2025872</x:v>
      </x:c>
      <x:c r="B873" s="9" t="n">
        <x:v>45849</x:v>
      </x:c>
      <x:c r="C873" s="8" t="str">
        <x:v>West</x:v>
      </x:c>
      <x:c r="D873" s="8" t="str">
        <x:v>Ethan Garcia</x:v>
      </x:c>
      <x:c r="E873" s="8" t="str">
        <x:v>Nexus Inc</x:v>
      </x:c>
      <x:c r="F873" s="8" t="str">
        <x:v>Software</x:v>
      </x:c>
      <x:c r="G873" s="8" t="str">
        <x:v>Analytics Cloud</x:v>
      </x:c>
      <x:c r="H873" s="10" t="n">
        <x:v>5</x:v>
      </x:c>
      <x:c r="I873" s="11" t="n">
        <x:v>1800</x:v>
      </x:c>
      <x:c r="J873" s="12" t="n">
        <x:v>0.05</x:v>
      </x:c>
      <x:c r="K873" s="11" t="n">
        <x:f>H873*I873*(1-J873)</x:f>
        <x:v>8550</x:v>
      </x:c>
      <x:c r="L873" s="11" t="n">
        <x:f>H873*(I873*0.62)</x:f>
        <x:v>5580</x:v>
      </x:c>
      <x:c r="M873" s="11" t="n">
        <x:f>K873-L873</x:f>
        <x:v>2970</x:v>
      </x:c>
      <x:c r="N873" s="8" t="str">
        <x:v>Direct</x:v>
      </x:c>
      <x:c r="O873" s="8" t="str">
        <x:v>Credit Card</x:v>
      </x:c>
      <x:c r="P873" s="8" t="str">
        <x:v>Closed Won</x:v>
      </x:c>
    </x:row>
    <x:row r="874">
      <x:c r="A874" s="8" t="str">
        <x:v>ORD-2025873</x:v>
      </x:c>
      <x:c r="B874" s="9" t="n">
        <x:v>45726</x:v>
      </x:c>
      <x:c r="C874" s="8" t="str">
        <x:v>East</x:v>
      </x:c>
      <x:c r="D874" s="8" t="str">
        <x:v>Sophia Kim</x:v>
      </x:c>
      <x:c r="E874" s="8" t="str">
        <x:v>Summit Inc</x:v>
      </x:c>
      <x:c r="F874" s="8" t="str">
        <x:v>Accessories</x:v>
      </x:c>
      <x:c r="G874" s="8" t="str">
        <x:v>Webcam HD</x:v>
      </x:c>
      <x:c r="H874" s="10" t="n">
        <x:v>17</x:v>
      </x:c>
      <x:c r="I874" s="11" t="n">
        <x:v>110</x:v>
      </x:c>
      <x:c r="J874" s="12" t="n">
        <x:v>0.2</x:v>
      </x:c>
      <x:c r="K874" s="11" t="n">
        <x:f>H874*I874*(1-J874)</x:f>
        <x:v>1496</x:v>
      </x:c>
      <x:c r="L874" s="11" t="n">
        <x:f>H874*(I874*0.62)</x:f>
        <x:v>1159.4</x:v>
      </x:c>
      <x:c r="M874" s="11" t="n">
        <x:f>K874-L874</x:f>
        <x:v>336.5999999999999</x:v>
      </x:c>
      <x:c r="N874" s="8" t="str">
        <x:v>Partner</x:v>
      </x:c>
      <x:c r="O874" s="8" t="str">
        <x:v>Invoice</x:v>
      </x:c>
      <x:c r="P874" s="8" t="str">
        <x:v>Shipped</x:v>
      </x:c>
    </x:row>
    <x:row r="875">
      <x:c r="A875" s="8" t="str">
        <x:v>ORD-2025874</x:v>
      </x:c>
      <x:c r="B875" s="9" t="n">
        <x:v>45833</x:v>
      </x:c>
      <x:c r="C875" s="8" t="str">
        <x:v>South</x:v>
      </x:c>
      <x:c r="D875" s="8" t="str">
        <x:v>Mia Johnson</x:v>
      </x:c>
      <x:c r="E875" s="8" t="str">
        <x:v>Maple Inc</x:v>
      </x:c>
      <x:c r="F875" s="8" t="str">
        <x:v>Hardware</x:v>
      </x:c>
      <x:c r="G875" s="8" t="str">
        <x:v>Dock Station</x:v>
      </x:c>
      <x:c r="H875" s="10" t="n">
        <x:v>2</x:v>
      </x:c>
      <x:c r="I875" s="11" t="n">
        <x:v>180</x:v>
      </x:c>
      <x:c r="J875" s="12" t="n">
        <x:v>0.15</x:v>
      </x:c>
      <x:c r="K875" s="11" t="n">
        <x:f>H875*I875*(1-J875)</x:f>
        <x:v>306</x:v>
      </x:c>
      <x:c r="L875" s="11" t="n">
        <x:f>H875*(I875*0.62)</x:f>
        <x:v>223.2</x:v>
      </x:c>
      <x:c r="M875" s="11" t="n">
        <x:f>K875-L875</x:f>
        <x:v>82.80000000000001</x:v>
      </x:c>
      <x:c r="N875" s="8" t="str">
        <x:v>Direct</x:v>
      </x:c>
      <x:c r="O875" s="8" t="str">
        <x:v>Bank Transfer</x:v>
      </x:c>
      <x:c r="P875" s="8" t="str">
        <x:v>Shipped</x:v>
      </x:c>
    </x:row>
    <x:row r="876">
      <x:c r="A876" s="8" t="str">
        <x:v>ORD-2025875</x:v>
      </x:c>
      <x:c r="B876" s="9" t="n">
        <x:v>45751</x:v>
      </x:c>
      <x:c r="C876" s="8" t="str">
        <x:v>West</x:v>
      </x:c>
      <x:c r="D876" s="8" t="str">
        <x:v>Ava Patel</x:v>
      </x:c>
      <x:c r="E876" s="8" t="str">
        <x:v>BlueSky LLC</x:v>
      </x:c>
      <x:c r="F876" s="8" t="str">
        <x:v>Accessories</x:v>
      </x:c>
      <x:c r="G876" s="8" t="str">
        <x:v>Webcam HD</x:v>
      </x:c>
      <x:c r="H876" s="10" t="n">
        <x:v>16</x:v>
      </x:c>
      <x:c r="I876" s="11" t="n">
        <x:v>110</x:v>
      </x:c>
      <x:c r="J876" s="12" t="n">
        <x:v>0</x:v>
      </x:c>
      <x:c r="K876" s="11" t="n">
        <x:f>H876*I876*(1-J876)</x:f>
        <x:v>1760</x:v>
      </x:c>
      <x:c r="L876" s="11" t="n">
        <x:f>H876*(I876*0.62)</x:f>
        <x:v>1091.2</x:v>
      </x:c>
      <x:c r="M876" s="11" t="n">
        <x:f>K876-L876</x:f>
        <x:v>668.8</x:v>
      </x:c>
      <x:c r="N876" s="8" t="str">
        <x:v>Direct</x:v>
      </x:c>
      <x:c r="O876" s="8" t="str">
        <x:v>Credit Card</x:v>
      </x:c>
      <x:c r="P876" s="8" t="str">
        <x:v>Shipped</x:v>
      </x:c>
    </x:row>
    <x:row r="877">
      <x:c r="A877" s="8" t="str">
        <x:v>ORD-2025876</x:v>
      </x:c>
      <x:c r="B877" s="9" t="n">
        <x:v>45722</x:v>
      </x:c>
      <x:c r="C877" s="8" t="str">
        <x:v>North</x:v>
      </x:c>
      <x:c r="D877" s="8" t="str">
        <x:v>Noah Davis</x:v>
      </x:c>
      <x:c r="E877" s="8" t="str">
        <x:v>Ironwood Group</x:v>
      </x:c>
      <x:c r="F877" s="8" t="str">
        <x:v>Hardware</x:v>
      </x:c>
      <x:c r="G877" s="8" t="str">
        <x:v>Tablet Air</x:v>
      </x:c>
      <x:c r="H877" s="10" t="n">
        <x:v>18</x:v>
      </x:c>
      <x:c r="I877" s="11" t="n">
        <x:v>820</x:v>
      </x:c>
      <x:c r="J877" s="12" t="n">
        <x:v>0.2</x:v>
      </x:c>
      <x:c r="K877" s="11" t="n">
        <x:f>H877*I877*(1-J877)</x:f>
        <x:v>11808</x:v>
      </x:c>
      <x:c r="L877" s="11" t="n">
        <x:f>H877*(I877*0.62)</x:f>
        <x:v>9151.199999999999</x:v>
      </x:c>
      <x:c r="M877" s="11" t="n">
        <x:f>K877-L877</x:f>
        <x:v>2656.800000000001</x:v>
      </x:c>
      <x:c r="N877" s="8" t="str">
        <x:v>Direct</x:v>
      </x:c>
      <x:c r="O877" s="8" t="str">
        <x:v>Bank Transfer</x:v>
      </x:c>
      <x:c r="P877" s="8" t="str">
        <x:v>Pending</x:v>
      </x:c>
    </x:row>
    <x:row r="878">
      <x:c r="A878" s="8" t="str">
        <x:v>ORD-2025877</x:v>
      </x:c>
      <x:c r="B878" s="9" t="n">
        <x:v>45817</x:v>
      </x:c>
      <x:c r="C878" s="8" t="str">
        <x:v>South</x:v>
      </x:c>
      <x:c r="D878" s="8" t="str">
        <x:v>Mia Johnson</x:v>
      </x:c>
      <x:c r="E878" s="8" t="str">
        <x:v>Cedar Group</x:v>
      </x:c>
      <x:c r="F878" s="8" t="str">
        <x:v>Accessories</x:v>
      </x:c>
      <x:c r="G878" s="8" t="str">
        <x:v>Headset</x:v>
      </x:c>
      <x:c r="H878" s="10" t="n">
        <x:v>14</x:v>
      </x:c>
      <x:c r="I878" s="11" t="n">
        <x:v>85</x:v>
      </x:c>
      <x:c r="J878" s="12" t="n">
        <x:v>0</x:v>
      </x:c>
      <x:c r="K878" s="11" t="n">
        <x:f>H878*I878*(1-J878)</x:f>
        <x:v>1190</x:v>
      </x:c>
      <x:c r="L878" s="11" t="n">
        <x:f>H878*(I878*0.62)</x:f>
        <x:v>737.8000000000001</x:v>
      </x:c>
      <x:c r="M878" s="11" t="n">
        <x:f>K878-L878</x:f>
        <x:v>452.19999999999993</x:v>
      </x:c>
      <x:c r="N878" s="8" t="str">
        <x:v>Online</x:v>
      </x:c>
      <x:c r="O878" s="8" t="str">
        <x:v>Bank Transfer</x:v>
      </x:c>
      <x:c r="P878" s="8" t="str">
        <x:v>Closed Won</x:v>
      </x:c>
    </x:row>
    <x:row r="879">
      <x:c r="A879" s="8" t="str">
        <x:v>ORD-2025878</x:v>
      </x:c>
      <x:c r="B879" s="9" t="n">
        <x:v>45797</x:v>
      </x:c>
      <x:c r="C879" s="8" t="str">
        <x:v>West</x:v>
      </x:c>
      <x:c r="D879" s="8" t="str">
        <x:v>Liam Chen</x:v>
      </x:c>
      <x:c r="E879" s="8" t="str">
        <x:v>Harbor Co</x:v>
      </x:c>
      <x:c r="F879" s="8" t="str">
        <x:v>Accessories</x:v>
      </x:c>
      <x:c r="G879" s="8" t="str">
        <x:v>Keyboard Pro</x:v>
      </x:c>
      <x:c r="H879" s="10" t="n">
        <x:v>13</x:v>
      </x:c>
      <x:c r="I879" s="11" t="n">
        <x:v>95</x:v>
      </x:c>
      <x:c r="J879" s="12" t="n">
        <x:v>0.05</x:v>
      </x:c>
      <x:c r="K879" s="11" t="n">
        <x:f>H879*I879*(1-J879)</x:f>
        <x:v>1173.25</x:v>
      </x:c>
      <x:c r="L879" s="11" t="n">
        <x:f>H879*(I879*0.62)</x:f>
        <x:v>765.6999999999999</x:v>
      </x:c>
      <x:c r="M879" s="11" t="n">
        <x:f>K879-L879</x:f>
        <x:v>407.55000000000007</x:v>
      </x:c>
      <x:c r="N879" s="8" t="str">
        <x:v>Direct</x:v>
      </x:c>
      <x:c r="O879" s="8" t="str">
        <x:v>PayPal</x:v>
      </x:c>
      <x:c r="P879" s="8" t="str">
        <x:v>Closed Won</x:v>
      </x:c>
    </x:row>
    <x:row r="880">
      <x:c r="A880" s="8" t="str">
        <x:v>ORD-2025879</x:v>
      </x:c>
      <x:c r="B880" s="9" t="n">
        <x:v>45904</x:v>
      </x:c>
      <x:c r="C880" s="8" t="str">
        <x:v>North</x:v>
      </x:c>
      <x:c r="D880" s="8" t="str">
        <x:v>Lucas Brown</x:v>
      </x:c>
      <x:c r="E880" s="8" t="str">
        <x:v>RedStone Co</x:v>
      </x:c>
      <x:c r="F880" s="8" t="str">
        <x:v>Accessories</x:v>
      </x:c>
      <x:c r="G880" s="8" t="str">
        <x:v>Keyboard Pro</x:v>
      </x:c>
      <x:c r="H880" s="10" t="n">
        <x:v>3</x:v>
      </x:c>
      <x:c r="I880" s="11" t="n">
        <x:v>95</x:v>
      </x:c>
      <x:c r="J880" s="12" t="n">
        <x:v>0.2</x:v>
      </x:c>
      <x:c r="K880" s="11" t="n">
        <x:f>H880*I880*(1-J880)</x:f>
        <x:v>228</x:v>
      </x:c>
      <x:c r="L880" s="11" t="n">
        <x:f>H880*(I880*0.62)</x:f>
        <x:v>176.7</x:v>
      </x:c>
      <x:c r="M880" s="11" t="n">
        <x:f>K880-L880</x:f>
        <x:v>51.30000000000001</x:v>
      </x:c>
      <x:c r="N880" s="8" t="str">
        <x:v>Partner</x:v>
      </x:c>
      <x:c r="O880" s="8" t="str">
        <x:v>Bank Transfer</x:v>
      </x:c>
      <x:c r="P880" s="8" t="str">
        <x:v>Shipped</x:v>
      </x:c>
    </x:row>
    <x:row r="881">
      <x:c r="A881" s="8" t="str">
        <x:v>ORD-2025880</x:v>
      </x:c>
      <x:c r="B881" s="9" t="n">
        <x:v>45852</x:v>
      </x:c>
      <x:c r="C881" s="8" t="str">
        <x:v>West</x:v>
      </x:c>
      <x:c r="D881" s="8" t="str">
        <x:v>Ethan Garcia</x:v>
      </x:c>
      <x:c r="E881" s="8" t="str">
        <x:v>GoldenGate Co</x:v>
      </x:c>
      <x:c r="F881" s="8" t="str">
        <x:v>Hardware</x:v>
      </x:c>
      <x:c r="G881" s="8" t="str">
        <x:v>Dock Station</x:v>
      </x:c>
      <x:c r="H881" s="10" t="n">
        <x:v>10</x:v>
      </x:c>
      <x:c r="I881" s="11" t="n">
        <x:v>180</x:v>
      </x:c>
      <x:c r="J881" s="12" t="n">
        <x:v>0.05</x:v>
      </x:c>
      <x:c r="K881" s="11" t="n">
        <x:f>H881*I881*(1-J881)</x:f>
        <x:v>1710</x:v>
      </x:c>
      <x:c r="L881" s="11" t="n">
        <x:f>H881*(I881*0.62)</x:f>
        <x:v>1116</x:v>
      </x:c>
      <x:c r="M881" s="11" t="n">
        <x:f>K881-L881</x:f>
        <x:v>594</x:v>
      </x:c>
      <x:c r="N881" s="8" t="str">
        <x:v>Online</x:v>
      </x:c>
      <x:c r="O881" s="8" t="str">
        <x:v>PayPal</x:v>
      </x:c>
      <x:c r="P881" s="8" t="str">
        <x:v>Closed Won</x:v>
      </x:c>
    </x:row>
    <x:row r="882">
      <x:c r="A882" s="8" t="str">
        <x:v>ORD-2025881</x:v>
      </x:c>
      <x:c r="B882" s="9" t="n">
        <x:v>45758</x:v>
      </x:c>
      <x:c r="C882" s="8" t="str">
        <x:v>South</x:v>
      </x:c>
      <x:c r="D882" s="8" t="str">
        <x:v>Mia Johnson</x:v>
      </x:c>
      <x:c r="E882" s="8" t="str">
        <x:v>Acme LLC</x:v>
      </x:c>
      <x:c r="F882" s="8" t="str">
        <x:v>Hardware</x:v>
      </x:c>
      <x:c r="G882" s="8" t="str">
        <x:v>Monitor 27</x:v>
      </x:c>
      <x:c r="H882" s="10" t="n">
        <x:v>1</x:v>
      </x:c>
      <x:c r="I882" s="11" t="n">
        <x:v>320</x:v>
      </x:c>
      <x:c r="J882" s="12" t="n">
        <x:v>0.2</x:v>
      </x:c>
      <x:c r="K882" s="11" t="n">
        <x:f>H882*I882*(1-J882)</x:f>
        <x:v>256</x:v>
      </x:c>
      <x:c r="L882" s="11" t="n">
        <x:f>H882*(I882*0.62)</x:f>
        <x:v>198.4</x:v>
      </x:c>
      <x:c r="M882" s="11" t="n">
        <x:f>K882-L882</x:f>
        <x:v>57.599999999999994</x:v>
      </x:c>
      <x:c r="N882" s="8" t="str">
        <x:v>Online</x:v>
      </x:c>
      <x:c r="O882" s="8" t="str">
        <x:v>Invoice</x:v>
      </x:c>
      <x:c r="P882" s="8" t="str">
        <x:v>Pending</x:v>
      </x:c>
    </x:row>
    <x:row r="883">
      <x:c r="A883" s="8" t="str">
        <x:v>ORD-2025882</x:v>
      </x:c>
      <x:c r="B883" s="9" t="n">
        <x:v>45849</x:v>
      </x:c>
      <x:c r="C883" s="8" t="str">
        <x:v>West</x:v>
      </x:c>
      <x:c r="D883" s="8" t="str">
        <x:v>Olivia Wilson</x:v>
      </x:c>
      <x:c r="E883" s="8" t="str">
        <x:v>Vertex Group</x:v>
      </x:c>
      <x:c r="F883" s="8" t="str">
        <x:v>Accessories</x:v>
      </x:c>
      <x:c r="G883" s="8" t="str">
        <x:v>Headset</x:v>
      </x:c>
      <x:c r="H883" s="10" t="n">
        <x:v>21</x:v>
      </x:c>
      <x:c r="I883" s="11" t="n">
        <x:v>85</x:v>
      </x:c>
      <x:c r="J883" s="12" t="n">
        <x:v>0.1</x:v>
      </x:c>
      <x:c r="K883" s="11" t="n">
        <x:f>H883*I883*(1-J883)</x:f>
        <x:v>1606.5</x:v>
      </x:c>
      <x:c r="L883" s="11" t="n">
        <x:f>H883*(I883*0.62)</x:f>
        <x:v>1106.7</x:v>
      </x:c>
      <x:c r="M883" s="11" t="n">
        <x:f>K883-L883</x:f>
        <x:v>499.79999999999995</x:v>
      </x:c>
      <x:c r="N883" s="8" t="str">
        <x:v>Direct</x:v>
      </x:c>
      <x:c r="O883" s="8" t="str">
        <x:v>PayPal</x:v>
      </x:c>
      <x:c r="P883" s="8" t="str">
        <x:v>Cancelled</x:v>
      </x:c>
    </x:row>
    <x:row r="884">
      <x:c r="A884" s="8" t="str">
        <x:v>ORD-2025883</x:v>
      </x:c>
      <x:c r="B884" s="9" t="n">
        <x:v>45947</x:v>
      </x:c>
      <x:c r="C884" s="8" t="str">
        <x:v>South</x:v>
      </x:c>
      <x:c r="D884" s="8" t="str">
        <x:v>Mia Johnson</x:v>
      </x:c>
      <x:c r="E884" s="8" t="str">
        <x:v>RedStone Group</x:v>
      </x:c>
      <x:c r="F884" s="8" t="str">
        <x:v>Software</x:v>
      </x:c>
      <x:c r="G884" s="8" t="str">
        <x:v>ProjectFlow</x:v>
      </x:c>
      <x:c r="H884" s="10" t="n">
        <x:v>9</x:v>
      </x:c>
      <x:c r="I884" s="11" t="n">
        <x:v>700</x:v>
      </x:c>
      <x:c r="J884" s="12" t="n">
        <x:v>0.2</x:v>
      </x:c>
      <x:c r="K884" s="11" t="n">
        <x:f>H884*I884*(1-J884)</x:f>
        <x:v>5040</x:v>
      </x:c>
      <x:c r="L884" s="11" t="n">
        <x:f>H884*(I884*0.62)</x:f>
        <x:v>3906</x:v>
      </x:c>
      <x:c r="M884" s="11" t="n">
        <x:f>K884-L884</x:f>
        <x:v>1134</x:v>
      </x:c>
      <x:c r="N884" s="8" t="str">
        <x:v>Online</x:v>
      </x:c>
      <x:c r="O884" s="8" t="str">
        <x:v>Invoice</x:v>
      </x:c>
      <x:c r="P884" s="8" t="str">
        <x:v>Pending</x:v>
      </x:c>
    </x:row>
    <x:row r="885">
      <x:c r="A885" s="8" t="str">
        <x:v>ORD-2025884</x:v>
      </x:c>
      <x:c r="B885" s="9" t="n">
        <x:v>46014</x:v>
      </x:c>
      <x:c r="C885" s="8" t="str">
        <x:v>North</x:v>
      </x:c>
      <x:c r="D885" s="8" t="str">
        <x:v>Lucas Brown</x:v>
      </x:c>
      <x:c r="E885" s="8" t="str">
        <x:v>RedStone Co</x:v>
      </x:c>
      <x:c r="F885" s="8" t="str">
        <x:v>Accessories</x:v>
      </x:c>
      <x:c r="G885" s="8" t="str">
        <x:v>Webcam HD</x:v>
      </x:c>
      <x:c r="H885" s="10" t="n">
        <x:v>24</x:v>
      </x:c>
      <x:c r="I885" s="11" t="n">
        <x:v>110</x:v>
      </x:c>
      <x:c r="J885" s="12" t="n">
        <x:v>0</x:v>
      </x:c>
      <x:c r="K885" s="11" t="n">
        <x:f>H885*I885*(1-J885)</x:f>
        <x:v>2640</x:v>
      </x:c>
      <x:c r="L885" s="11" t="n">
        <x:f>H885*(I885*0.62)</x:f>
        <x:v>1636.8000000000002</x:v>
      </x:c>
      <x:c r="M885" s="11" t="n">
        <x:f>K885-L885</x:f>
        <x:v>1003.1999999999998</x:v>
      </x:c>
      <x:c r="N885" s="8" t="str">
        <x:v>Direct</x:v>
      </x:c>
      <x:c r="O885" s="8" t="str">
        <x:v>PayPal</x:v>
      </x:c>
      <x:c r="P885" s="8" t="str">
        <x:v>Closed Won</x:v>
      </x:c>
    </x:row>
    <x:row r="886">
      <x:c r="A886" s="8" t="str">
        <x:v>ORD-2025885</x:v>
      </x:c>
      <x:c r="B886" s="9" t="n">
        <x:v>46015</x:v>
      </x:c>
      <x:c r="C886" s="8" t="str">
        <x:v>South</x:v>
      </x:c>
      <x:c r="D886" s="8" t="str">
        <x:v>Ethan Garcia</x:v>
      </x:c>
      <x:c r="E886" s="8" t="str">
        <x:v>Nova Inc</x:v>
      </x:c>
      <x:c r="F886" s="8" t="str">
        <x:v>Services</x:v>
      </x:c>
      <x:c r="G886" s="8" t="str">
        <x:v>Implementation</x:v>
      </x:c>
      <x:c r="H886" s="10" t="n">
        <x:v>15</x:v>
      </x:c>
      <x:c r="I886" s="11" t="n">
        <x:v>2500</x:v>
      </x:c>
      <x:c r="J886" s="12" t="n">
        <x:v>0.15</x:v>
      </x:c>
      <x:c r="K886" s="11" t="n">
        <x:f>H886*I886*(1-J886)</x:f>
        <x:v>31875</x:v>
      </x:c>
      <x:c r="L886" s="11" t="n">
        <x:f>H886*(I886*0.62)</x:f>
        <x:v>23250</x:v>
      </x:c>
      <x:c r="M886" s="11" t="n">
        <x:f>K886-L886</x:f>
        <x:v>8625</x:v>
      </x:c>
      <x:c r="N886" s="8" t="str">
        <x:v>Direct</x:v>
      </x:c>
      <x:c r="O886" s="8" t="str">
        <x:v>Invoice</x:v>
      </x:c>
      <x:c r="P886" s="8" t="str">
        <x:v>Closed Won</x:v>
      </x:c>
    </x:row>
    <x:row r="887">
      <x:c r="A887" s="8" t="str">
        <x:v>ORD-2025886</x:v>
      </x:c>
      <x:c r="B887" s="9" t="n">
        <x:v>45717</x:v>
      </x:c>
      <x:c r="C887" s="8" t="str">
        <x:v>North</x:v>
      </x:c>
      <x:c r="D887" s="8" t="str">
        <x:v>Lucas Brown</x:v>
      </x:c>
      <x:c r="E887" s="8" t="str">
        <x:v>SilverLine Co</x:v>
      </x:c>
      <x:c r="F887" s="8" t="str">
        <x:v>Hardware</x:v>
      </x:c>
      <x:c r="G887" s="8" t="str">
        <x:v>Laptop X</x:v>
      </x:c>
      <x:c r="H887" s="10" t="n">
        <x:v>23</x:v>
      </x:c>
      <x:c r="I887" s="11" t="n">
        <x:v>1500</x:v>
      </x:c>
      <x:c r="J887" s="12" t="n">
        <x:v>0.1</x:v>
      </x:c>
      <x:c r="K887" s="11" t="n">
        <x:f>H887*I887*(1-J887)</x:f>
        <x:v>31050</x:v>
      </x:c>
      <x:c r="L887" s="11" t="n">
        <x:f>H887*(I887*0.62)</x:f>
        <x:v>21390</x:v>
      </x:c>
      <x:c r="M887" s="11" t="n">
        <x:f>K887-L887</x:f>
        <x:v>9660</x:v>
      </x:c>
      <x:c r="N887" s="8" t="str">
        <x:v>Direct</x:v>
      </x:c>
      <x:c r="O887" s="8" t="str">
        <x:v>Bank Transfer</x:v>
      </x:c>
      <x:c r="P887" s="8" t="str">
        <x:v>Returned</x:v>
      </x:c>
    </x:row>
    <x:row r="888">
      <x:c r="A888" s="8" t="str">
        <x:v>ORD-2025887</x:v>
      </x:c>
      <x:c r="B888" s="9" t="n">
        <x:v>45787</x:v>
      </x:c>
      <x:c r="C888" s="8" t="str">
        <x:v>East</x:v>
      </x:c>
      <x:c r="D888" s="8" t="str">
        <x:v>Mason Lee</x:v>
      </x:c>
      <x:c r="E888" s="8" t="str">
        <x:v>Maple LLC</x:v>
      </x:c>
      <x:c r="F888" s="8" t="str">
        <x:v>Hardware</x:v>
      </x:c>
      <x:c r="G888" s="8" t="str">
        <x:v>Monitor 27</x:v>
      </x:c>
      <x:c r="H888" s="10" t="n">
        <x:v>22</x:v>
      </x:c>
      <x:c r="I888" s="11" t="n">
        <x:v>320</x:v>
      </x:c>
      <x:c r="J888" s="12" t="n">
        <x:v>0.05</x:v>
      </x:c>
      <x:c r="K888" s="11" t="n">
        <x:f>H888*I888*(1-J888)</x:f>
        <x:v>6688</x:v>
      </x:c>
      <x:c r="L888" s="11" t="n">
        <x:f>H888*(I888*0.62)</x:f>
        <x:v>4364.8</x:v>
      </x:c>
      <x:c r="M888" s="11" t="n">
        <x:f>K888-L888</x:f>
        <x:v>2323.2</x:v>
      </x:c>
      <x:c r="N888" s="8" t="str">
        <x:v>Online</x:v>
      </x:c>
      <x:c r="O888" s="8" t="str">
        <x:v>Invoice</x:v>
      </x:c>
      <x:c r="P888" s="8" t="str">
        <x:v>Shipped</x:v>
      </x:c>
    </x:row>
    <x:row r="889">
      <x:c r="A889" s="8" t="str">
        <x:v>ORD-2025888</x:v>
      </x:c>
      <x:c r="B889" s="9" t="n">
        <x:v>45983</x:v>
      </x:c>
      <x:c r="C889" s="8" t="str">
        <x:v>Central</x:v>
      </x:c>
      <x:c r="D889" s="8" t="str">
        <x:v>Sophia Kim</x:v>
      </x:c>
      <x:c r="E889" s="8" t="str">
        <x:v>Urban Co</x:v>
      </x:c>
      <x:c r="F889" s="8" t="str">
        <x:v>Software</x:v>
      </x:c>
      <x:c r="G889" s="8" t="str">
        <x:v>CRM Pro</x:v>
      </x:c>
      <x:c r="H889" s="10" t="n">
        <x:v>9</x:v>
      </x:c>
      <x:c r="I889" s="11" t="n">
        <x:v>1200</x:v>
      </x:c>
      <x:c r="J889" s="12" t="n">
        <x:v>0.15</x:v>
      </x:c>
      <x:c r="K889" s="11" t="n">
        <x:f>H889*I889*(1-J889)</x:f>
        <x:v>9180</x:v>
      </x:c>
      <x:c r="L889" s="11" t="n">
        <x:f>H889*(I889*0.62)</x:f>
        <x:v>6696</x:v>
      </x:c>
      <x:c r="M889" s="11" t="n">
        <x:f>K889-L889</x:f>
        <x:v>2484</x:v>
      </x:c>
      <x:c r="N889" s="8" t="str">
        <x:v>Direct</x:v>
      </x:c>
      <x:c r="O889" s="8" t="str">
        <x:v>PayPal</x:v>
      </x:c>
      <x:c r="P889" s="8" t="str">
        <x:v>Shipped</x:v>
      </x:c>
    </x:row>
    <x:row r="890">
      <x:c r="A890" s="8" t="str">
        <x:v>ORD-2025889</x:v>
      </x:c>
      <x:c r="B890" s="9" t="n">
        <x:v>45909</x:v>
      </x:c>
      <x:c r="C890" s="8" t="str">
        <x:v>North</x:v>
      </x:c>
      <x:c r="D890" s="8" t="str">
        <x:v>Liam Chen</x:v>
      </x:c>
      <x:c r="E890" s="8" t="str">
        <x:v>BlueSky LLC</x:v>
      </x:c>
      <x:c r="F890" s="8" t="str">
        <x:v>Software</x:v>
      </x:c>
      <x:c r="G890" s="8" t="str">
        <x:v>Analytics Cloud</x:v>
      </x:c>
      <x:c r="H890" s="10" t="n">
        <x:v>25</x:v>
      </x:c>
      <x:c r="I890" s="11" t="n">
        <x:v>1800</x:v>
      </x:c>
      <x:c r="J890" s="12" t="n">
        <x:v>0.15</x:v>
      </x:c>
      <x:c r="K890" s="11" t="n">
        <x:f>H890*I890*(1-J890)</x:f>
        <x:v>38250</x:v>
      </x:c>
      <x:c r="L890" s="11" t="n">
        <x:f>H890*(I890*0.62)</x:f>
        <x:v>27900</x:v>
      </x:c>
      <x:c r="M890" s="11" t="n">
        <x:f>K890-L890</x:f>
        <x:v>10350</x:v>
      </x:c>
      <x:c r="N890" s="8" t="str">
        <x:v>Partner</x:v>
      </x:c>
      <x:c r="O890" s="8" t="str">
        <x:v>PayPal</x:v>
      </x:c>
      <x:c r="P890" s="8" t="str">
        <x:v>Shipped</x:v>
      </x:c>
    </x:row>
    <x:row r="891">
      <x:c r="A891" s="8" t="str">
        <x:v>ORD-2025890</x:v>
      </x:c>
      <x:c r="B891" s="9" t="n">
        <x:v>45748</x:v>
      </x:c>
      <x:c r="C891" s="8" t="str">
        <x:v>East</x:v>
      </x:c>
      <x:c r="D891" s="8" t="str">
        <x:v>Noah Davis</x:v>
      </x:c>
      <x:c r="E891" s="8" t="str">
        <x:v>Urban Inc</x:v>
      </x:c>
      <x:c r="F891" s="8" t="str">
        <x:v>Accessories</x:v>
      </x:c>
      <x:c r="G891" s="8" t="str">
        <x:v>Keyboard Pro</x:v>
      </x:c>
      <x:c r="H891" s="10" t="n">
        <x:v>7</x:v>
      </x:c>
      <x:c r="I891" s="11" t="n">
        <x:v>95</x:v>
      </x:c>
      <x:c r="J891" s="12" t="n">
        <x:v>0.05</x:v>
      </x:c>
      <x:c r="K891" s="11" t="n">
        <x:f>H891*I891*(1-J891)</x:f>
        <x:v>631.75</x:v>
      </x:c>
      <x:c r="L891" s="11" t="n">
        <x:f>H891*(I891*0.62)</x:f>
        <x:v>412.3</x:v>
      </x:c>
      <x:c r="M891" s="11" t="n">
        <x:f>K891-L891</x:f>
        <x:v>219.45</x:v>
      </x:c>
      <x:c r="N891" s="8" t="str">
        <x:v>Direct</x:v>
      </x:c>
      <x:c r="O891" s="8" t="str">
        <x:v>Credit Card</x:v>
      </x:c>
      <x:c r="P891" s="8" t="str">
        <x:v>Pending</x:v>
      </x:c>
    </x:row>
    <x:row r="892">
      <x:c r="A892" s="8" t="str">
        <x:v>ORD-2025891</x:v>
      </x:c>
      <x:c r="B892" s="9" t="n">
        <x:v>45760</x:v>
      </x:c>
      <x:c r="C892" s="8" t="str">
        <x:v>North</x:v>
      </x:c>
      <x:c r="D892" s="8" t="str">
        <x:v>Noah Davis</x:v>
      </x:c>
      <x:c r="E892" s="8" t="str">
        <x:v>Nexus LLC</x:v>
      </x:c>
      <x:c r="F892" s="8" t="str">
        <x:v>Hardware</x:v>
      </x:c>
      <x:c r="G892" s="8" t="str">
        <x:v>Tablet Air</x:v>
      </x:c>
      <x:c r="H892" s="10" t="n">
        <x:v>9</x:v>
      </x:c>
      <x:c r="I892" s="11" t="n">
        <x:v>820</x:v>
      </x:c>
      <x:c r="J892" s="12" t="n">
        <x:v>0.2</x:v>
      </x:c>
      <x:c r="K892" s="11" t="n">
        <x:f>H892*I892*(1-J892)</x:f>
        <x:v>5904</x:v>
      </x:c>
      <x:c r="L892" s="11" t="n">
        <x:f>H892*(I892*0.62)</x:f>
        <x:v>4575.599999999999</x:v>
      </x:c>
      <x:c r="M892" s="11" t="n">
        <x:f>K892-L892</x:f>
        <x:v>1328.4000000000005</x:v>
      </x:c>
      <x:c r="N892" s="8" t="str">
        <x:v>Partner</x:v>
      </x:c>
      <x:c r="O892" s="8" t="str">
        <x:v>PayPal</x:v>
      </x:c>
      <x:c r="P892" s="8" t="str">
        <x:v>Shipped</x:v>
      </x:c>
    </x:row>
    <x:row r="893">
      <x:c r="A893" s="8" t="str">
        <x:v>ORD-2025892</x:v>
      </x:c>
      <x:c r="B893" s="9" t="n">
        <x:v>45698</x:v>
      </x:c>
      <x:c r="C893" s="8" t="str">
        <x:v>East</x:v>
      </x:c>
      <x:c r="D893" s="8" t="str">
        <x:v>Liam Chen</x:v>
      </x:c>
      <x:c r="E893" s="8" t="str">
        <x:v>SilverLine LLC</x:v>
      </x:c>
      <x:c r="F893" s="8" t="str">
        <x:v>Software</x:v>
      </x:c>
      <x:c r="G893" s="8" t="str">
        <x:v>Analytics Cloud</x:v>
      </x:c>
      <x:c r="H893" s="10" t="n">
        <x:v>4</x:v>
      </x:c>
      <x:c r="I893" s="11" t="n">
        <x:v>1800</x:v>
      </x:c>
      <x:c r="J893" s="12" t="n">
        <x:v>0</x:v>
      </x:c>
      <x:c r="K893" s="11" t="n">
        <x:f>H893*I893*(1-J893)</x:f>
        <x:v>7200</x:v>
      </x:c>
      <x:c r="L893" s="11" t="n">
        <x:f>H893*(I893*0.62)</x:f>
        <x:v>4464</x:v>
      </x:c>
      <x:c r="M893" s="11" t="n">
        <x:f>K893-L893</x:f>
        <x:v>2736</x:v>
      </x:c>
      <x:c r="N893" s="8" t="str">
        <x:v>Direct</x:v>
      </x:c>
      <x:c r="O893" s="8" t="str">
        <x:v>Invoice</x:v>
      </x:c>
      <x:c r="P893" s="8" t="str">
        <x:v>Closed Won</x:v>
      </x:c>
    </x:row>
    <x:row r="894">
      <x:c r="A894" s="8" t="str">
        <x:v>ORD-2025893</x:v>
      </x:c>
      <x:c r="B894" s="9" t="n">
        <x:v>45906</x:v>
      </x:c>
      <x:c r="C894" s="8" t="str">
        <x:v>North</x:v>
      </x:c>
      <x:c r="D894" s="8" t="str">
        <x:v>Ava Patel</x:v>
      </x:c>
      <x:c r="E894" s="8" t="str">
        <x:v>Summit Group</x:v>
      </x:c>
      <x:c r="F894" s="8" t="str">
        <x:v>Hardware</x:v>
      </x:c>
      <x:c r="G894" s="8" t="str">
        <x:v>Monitor 27</x:v>
      </x:c>
      <x:c r="H894" s="10" t="n">
        <x:v>9</x:v>
      </x:c>
      <x:c r="I894" s="11" t="n">
        <x:v>320</x:v>
      </x:c>
      <x:c r="J894" s="12" t="n">
        <x:v>0.2</x:v>
      </x:c>
      <x:c r="K894" s="11" t="n">
        <x:f>H894*I894*(1-J894)</x:f>
        <x:v>2304</x:v>
      </x:c>
      <x:c r="L894" s="11" t="n">
        <x:f>H894*(I894*0.62)</x:f>
        <x:v>1785.6000000000001</x:v>
      </x:c>
      <x:c r="M894" s="11" t="n">
        <x:f>K894-L894</x:f>
        <x:v>518.3999999999999</x:v>
      </x:c>
      <x:c r="N894" s="8" t="str">
        <x:v>Direct</x:v>
      </x:c>
      <x:c r="O894" s="8" t="str">
        <x:v>Credit Card</x:v>
      </x:c>
      <x:c r="P894" s="8" t="str">
        <x:v>Closed Won</x:v>
      </x:c>
    </x:row>
    <x:row r="895">
      <x:c r="A895" s="8" t="str">
        <x:v>ORD-2025894</x:v>
      </x:c>
      <x:c r="B895" s="9" t="n">
        <x:v>45966</x:v>
      </x:c>
      <x:c r="C895" s="8" t="str">
        <x:v>Central</x:v>
      </x:c>
      <x:c r="D895" s="8" t="str">
        <x:v>Ethan Garcia</x:v>
      </x:c>
      <x:c r="E895" s="8" t="str">
        <x:v>NorthStar Co</x:v>
      </x:c>
      <x:c r="F895" s="8" t="str">
        <x:v>Software</x:v>
      </x:c>
      <x:c r="G895" s="8" t="str">
        <x:v>ProjectFlow</x:v>
      </x:c>
      <x:c r="H895" s="10" t="n">
        <x:v>16</x:v>
      </x:c>
      <x:c r="I895" s="11" t="n">
        <x:v>700</x:v>
      </x:c>
      <x:c r="J895" s="12" t="n">
        <x:v>0.2</x:v>
      </x:c>
      <x:c r="K895" s="11" t="n">
        <x:f>H895*I895*(1-J895)</x:f>
        <x:v>8960</x:v>
      </x:c>
      <x:c r="L895" s="11" t="n">
        <x:f>H895*(I895*0.62)</x:f>
        <x:v>6944</x:v>
      </x:c>
      <x:c r="M895" s="11" t="n">
        <x:f>K895-L895</x:f>
        <x:v>2016</x:v>
      </x:c>
      <x:c r="N895" s="8" t="str">
        <x:v>Partner</x:v>
      </x:c>
      <x:c r="O895" s="8" t="str">
        <x:v>PayPal</x:v>
      </x:c>
      <x:c r="P895" s="8" t="str">
        <x:v>Closed Won</x:v>
      </x:c>
    </x:row>
    <x:row r="896">
      <x:c r="A896" s="8" t="str">
        <x:v>ORD-2025895</x:v>
      </x:c>
      <x:c r="B896" s="9" t="n">
        <x:v>45780</x:v>
      </x:c>
      <x:c r="C896" s="8" t="str">
        <x:v>East</x:v>
      </x:c>
      <x:c r="D896" s="8" t="str">
        <x:v>Lucas Brown</x:v>
      </x:c>
      <x:c r="E896" s="8" t="str">
        <x:v>SilverLine LLC</x:v>
      </x:c>
      <x:c r="F896" s="8" t="str">
        <x:v>Services</x:v>
      </x:c>
      <x:c r="G896" s="8" t="str">
        <x:v>Support Plus</x:v>
      </x:c>
      <x:c r="H896" s="10" t="n">
        <x:v>20</x:v>
      </x:c>
      <x:c r="I896" s="11" t="n">
        <x:v>650</x:v>
      </x:c>
      <x:c r="J896" s="12" t="n">
        <x:v>0</x:v>
      </x:c>
      <x:c r="K896" s="11" t="n">
        <x:f>H896*I896*(1-J896)</x:f>
        <x:v>13000</x:v>
      </x:c>
      <x:c r="L896" s="11" t="n">
        <x:f>H896*(I896*0.62)</x:f>
        <x:v>8060</x:v>
      </x:c>
      <x:c r="M896" s="11" t="n">
        <x:f>K896-L896</x:f>
        <x:v>4940</x:v>
      </x:c>
      <x:c r="N896" s="8" t="str">
        <x:v>Partner</x:v>
      </x:c>
      <x:c r="O896" s="8" t="str">
        <x:v>Invoice</x:v>
      </x:c>
      <x:c r="P896" s="8" t="str">
        <x:v>Returned</x:v>
      </x:c>
    </x:row>
    <x:row r="897">
      <x:c r="A897" s="8" t="str">
        <x:v>ORD-2025896</x:v>
      </x:c>
      <x:c r="B897" s="9" t="n">
        <x:v>46015</x:v>
      </x:c>
      <x:c r="C897" s="8" t="str">
        <x:v>West</x:v>
      </x:c>
      <x:c r="D897" s="8" t="str">
        <x:v>Noah Davis</x:v>
      </x:c>
      <x:c r="E897" s="8" t="str">
        <x:v>Acme Group</x:v>
      </x:c>
      <x:c r="F897" s="8" t="str">
        <x:v>Software</x:v>
      </x:c>
      <x:c r="G897" s="8" t="str">
        <x:v>ProjectFlow</x:v>
      </x:c>
      <x:c r="H897" s="10" t="n">
        <x:v>20</x:v>
      </x:c>
      <x:c r="I897" s="11" t="n">
        <x:v>700</x:v>
      </x:c>
      <x:c r="J897" s="12" t="n">
        <x:v>0</x:v>
      </x:c>
      <x:c r="K897" s="11" t="n">
        <x:f>H897*I897*(1-J897)</x:f>
        <x:v>14000</x:v>
      </x:c>
      <x:c r="L897" s="11" t="n">
        <x:f>H897*(I897*0.62)</x:f>
        <x:v>8680</x:v>
      </x:c>
      <x:c r="M897" s="11" t="n">
        <x:f>K897-L897</x:f>
        <x:v>5320</x:v>
      </x:c>
      <x:c r="N897" s="8" t="str">
        <x:v>Online</x:v>
      </x:c>
      <x:c r="O897" s="8" t="str">
        <x:v>Invoice</x:v>
      </x:c>
      <x:c r="P897" s="8" t="str">
        <x:v>Cancelled</x:v>
      </x:c>
    </x:row>
    <x:row r="898">
      <x:c r="A898" s="8" t="str">
        <x:v>ORD-2025897</x:v>
      </x:c>
      <x:c r="B898" s="9" t="n">
        <x:v>45889</x:v>
      </x:c>
      <x:c r="C898" s="8" t="str">
        <x:v>Central</x:v>
      </x:c>
      <x:c r="D898" s="8" t="str">
        <x:v>Olivia Wilson</x:v>
      </x:c>
      <x:c r="E898" s="8" t="str">
        <x:v>Southridge Inc</x:v>
      </x:c>
      <x:c r="F898" s="8" t="str">
        <x:v>Hardware</x:v>
      </x:c>
      <x:c r="G898" s="8" t="str">
        <x:v>Dock Station</x:v>
      </x:c>
      <x:c r="H898" s="10" t="n">
        <x:v>14</x:v>
      </x:c>
      <x:c r="I898" s="11" t="n">
        <x:v>180</x:v>
      </x:c>
      <x:c r="J898" s="12" t="n">
        <x:v>0.15</x:v>
      </x:c>
      <x:c r="K898" s="11" t="n">
        <x:f>H898*I898*(1-J898)</x:f>
        <x:v>2142</x:v>
      </x:c>
      <x:c r="L898" s="11" t="n">
        <x:f>H898*(I898*0.62)</x:f>
        <x:v>1562.3999999999999</x:v>
      </x:c>
      <x:c r="M898" s="11" t="n">
        <x:f>K898-L898</x:f>
        <x:v>579.6000000000001</x:v>
      </x:c>
      <x:c r="N898" s="8" t="str">
        <x:v>Direct</x:v>
      </x:c>
      <x:c r="O898" s="8" t="str">
        <x:v>Credit Card</x:v>
      </x:c>
      <x:c r="P898" s="8" t="str">
        <x:v>Cancelled</x:v>
      </x:c>
    </x:row>
    <x:row r="899">
      <x:c r="A899" s="8" t="str">
        <x:v>ORD-2025898</x:v>
      </x:c>
      <x:c r="B899" s="9" t="n">
        <x:v>45982</x:v>
      </x:c>
      <x:c r="C899" s="8" t="str">
        <x:v>East</x:v>
      </x:c>
      <x:c r="D899" s="8" t="str">
        <x:v>Ava Patel</x:v>
      </x:c>
      <x:c r="E899" s="8" t="str">
        <x:v>BrightPath Inc</x:v>
      </x:c>
      <x:c r="F899" s="8" t="str">
        <x:v>Services</x:v>
      </x:c>
      <x:c r="G899" s="8" t="str">
        <x:v>Implementation</x:v>
      </x:c>
      <x:c r="H899" s="10" t="n">
        <x:v>22</x:v>
      </x:c>
      <x:c r="I899" s="11" t="n">
        <x:v>2500</x:v>
      </x:c>
      <x:c r="J899" s="12" t="n">
        <x:v>0.05</x:v>
      </x:c>
      <x:c r="K899" s="11" t="n">
        <x:f>H899*I899*(1-J899)</x:f>
        <x:v>52250</x:v>
      </x:c>
      <x:c r="L899" s="11" t="n">
        <x:f>H899*(I899*0.62)</x:f>
        <x:v>34100</x:v>
      </x:c>
      <x:c r="M899" s="11" t="n">
        <x:f>K899-L899</x:f>
        <x:v>18150</x:v>
      </x:c>
      <x:c r="N899" s="8" t="str">
        <x:v>Direct</x:v>
      </x:c>
      <x:c r="O899" s="8" t="str">
        <x:v>PayPal</x:v>
      </x:c>
      <x:c r="P899" s="8" t="str">
        <x:v>Closed Won</x:v>
      </x:c>
    </x:row>
    <x:row r="900">
      <x:c r="A900" s="8" t="str">
        <x:v>ORD-2025899</x:v>
      </x:c>
      <x:c r="B900" s="9" t="n">
        <x:v>45877</x:v>
      </x:c>
      <x:c r="C900" s="8" t="str">
        <x:v>West</x:v>
      </x:c>
      <x:c r="D900" s="8" t="str">
        <x:v>Liam Chen</x:v>
      </x:c>
      <x:c r="E900" s="8" t="str">
        <x:v>SilverLine Inc</x:v>
      </x:c>
      <x:c r="F900" s="8" t="str">
        <x:v>Software</x:v>
      </x:c>
      <x:c r="G900" s="8" t="str">
        <x:v>HR Suite</x:v>
      </x:c>
      <x:c r="H900" s="10" t="n">
        <x:v>10</x:v>
      </x:c>
      <x:c r="I900" s="11" t="n">
        <x:v>950</x:v>
      </x:c>
      <x:c r="J900" s="12" t="n">
        <x:v>0.1</x:v>
      </x:c>
      <x:c r="K900" s="11" t="n">
        <x:f>H900*I900*(1-J900)</x:f>
        <x:v>8550</x:v>
      </x:c>
      <x:c r="L900" s="11" t="n">
        <x:f>H900*(I900*0.62)</x:f>
        <x:v>5890</x:v>
      </x:c>
      <x:c r="M900" s="11" t="n">
        <x:f>K900-L900</x:f>
        <x:v>2660</x:v>
      </x:c>
      <x:c r="N900" s="8" t="str">
        <x:v>Direct</x:v>
      </x:c>
      <x:c r="O900" s="8" t="str">
        <x:v>Bank Transfer</x:v>
      </x:c>
      <x:c r="P900" s="8" t="str">
        <x:v>Returned</x:v>
      </x:c>
    </x:row>
    <x:row r="901">
      <x:c r="A901" s="8" t="str">
        <x:v>ORD-2025900</x:v>
      </x:c>
      <x:c r="B901" s="9" t="n">
        <x:v>45912</x:v>
      </x:c>
      <x:c r="C901" s="8" t="str">
        <x:v>North</x:v>
      </x:c>
      <x:c r="D901" s="8" t="str">
        <x:v>Ethan Garcia</x:v>
      </x:c>
      <x:c r="E901" s="8" t="str">
        <x:v>Maple Co</x:v>
      </x:c>
      <x:c r="F901" s="8" t="str">
        <x:v>Software</x:v>
      </x:c>
      <x:c r="G901" s="8" t="str">
        <x:v>Analytics Cloud</x:v>
      </x:c>
      <x:c r="H901" s="10" t="n">
        <x:v>15</x:v>
      </x:c>
      <x:c r="I901" s="11" t="n">
        <x:v>1800</x:v>
      </x:c>
      <x:c r="J901" s="12" t="n">
        <x:v>0</x:v>
      </x:c>
      <x:c r="K901" s="11" t="n">
        <x:f>H901*I901*(1-J901)</x:f>
        <x:v>27000</x:v>
      </x:c>
      <x:c r="L901" s="11" t="n">
        <x:f>H901*(I901*0.62)</x:f>
        <x:v>16740</x:v>
      </x:c>
      <x:c r="M901" s="11" t="n">
        <x:f>K901-L901</x:f>
        <x:v>10260</x:v>
      </x:c>
      <x:c r="N901" s="8" t="str">
        <x:v>Partner</x:v>
      </x:c>
      <x:c r="O901" s="8" t="str">
        <x:v>Credit Card</x:v>
      </x:c>
      <x:c r="P901" s="8" t="str">
        <x:v>Pending</x:v>
      </x:c>
    </x:row>
    <x:row r="902">
      <x:c r="A902" s="8" t="str">
        <x:v>ORD-2025901</x:v>
      </x:c>
      <x:c r="B902" s="9" t="n">
        <x:v>45766</x:v>
      </x:c>
      <x:c r="C902" s="8" t="str">
        <x:v>South</x:v>
      </x:c>
      <x:c r="D902" s="8" t="str">
        <x:v>Liam Chen</x:v>
      </x:c>
      <x:c r="E902" s="8" t="str">
        <x:v>Pioneer Inc</x:v>
      </x:c>
      <x:c r="F902" s="8" t="str">
        <x:v>Hardware</x:v>
      </x:c>
      <x:c r="G902" s="8" t="str">
        <x:v>Tablet Air</x:v>
      </x:c>
      <x:c r="H902" s="10" t="n">
        <x:v>14</x:v>
      </x:c>
      <x:c r="I902" s="11" t="n">
        <x:v>820</x:v>
      </x:c>
      <x:c r="J902" s="12" t="n">
        <x:v>0.15</x:v>
      </x:c>
      <x:c r="K902" s="11" t="n">
        <x:f>H902*I902*(1-J902)</x:f>
        <x:v>9758</x:v>
      </x:c>
      <x:c r="L902" s="11" t="n">
        <x:f>H902*(I902*0.62)</x:f>
        <x:v>7117.599999999999</x:v>
      </x:c>
      <x:c r="M902" s="11" t="n">
        <x:f>K902-L902</x:f>
        <x:v>2640.4000000000005</x:v>
      </x:c>
      <x:c r="N902" s="8" t="str">
        <x:v>Direct</x:v>
      </x:c>
      <x:c r="O902" s="8" t="str">
        <x:v>Bank Transfer</x:v>
      </x:c>
      <x:c r="P902" s="8" t="str">
        <x:v>Cancelled</x:v>
      </x:c>
    </x:row>
    <x:row r="903">
      <x:c r="A903" s="8" t="str">
        <x:v>ORD-2025902</x:v>
      </x:c>
      <x:c r="B903" s="9" t="n">
        <x:v>45801</x:v>
      </x:c>
      <x:c r="C903" s="8" t="str">
        <x:v>South</x:v>
      </x:c>
      <x:c r="D903" s="8" t="str">
        <x:v>Ethan Garcia</x:v>
      </x:c>
      <x:c r="E903" s="8" t="str">
        <x:v>NorthStar LLC</x:v>
      </x:c>
      <x:c r="F903" s="8" t="str">
        <x:v>Services</x:v>
      </x:c>
      <x:c r="G903" s="8" t="str">
        <x:v>Consulting Day</x:v>
      </x:c>
      <x:c r="H903" s="10" t="n">
        <x:v>22</x:v>
      </x:c>
      <x:c r="I903" s="11" t="n">
        <x:v>1400</x:v>
      </x:c>
      <x:c r="J903" s="12" t="n">
        <x:v>0</x:v>
      </x:c>
      <x:c r="K903" s="11" t="n">
        <x:f>H903*I903*(1-J903)</x:f>
        <x:v>30800</x:v>
      </x:c>
      <x:c r="L903" s="11" t="n">
        <x:f>H903*(I903*0.62)</x:f>
        <x:v>19096</x:v>
      </x:c>
      <x:c r="M903" s="11" t="n">
        <x:f>K903-L903</x:f>
        <x:v>11704</x:v>
      </x:c>
      <x:c r="N903" s="8" t="str">
        <x:v>Online</x:v>
      </x:c>
      <x:c r="O903" s="8" t="str">
        <x:v>Bank Transfer</x:v>
      </x:c>
      <x:c r="P903" s="8" t="str">
        <x:v>Cancelled</x:v>
      </x:c>
    </x:row>
    <x:row r="904">
      <x:c r="A904" s="8" t="str">
        <x:v>ORD-2025903</x:v>
      </x:c>
      <x:c r="B904" s="9" t="n">
        <x:v>46012</x:v>
      </x:c>
      <x:c r="C904" s="8" t="str">
        <x:v>East</x:v>
      </x:c>
      <x:c r="D904" s="8" t="str">
        <x:v>Mia Johnson</x:v>
      </x:c>
      <x:c r="E904" s="8" t="str">
        <x:v>Ironwood Inc</x:v>
      </x:c>
      <x:c r="F904" s="8" t="str">
        <x:v>Accessories</x:v>
      </x:c>
      <x:c r="G904" s="8" t="str">
        <x:v>Wireless Mouse</x:v>
      </x:c>
      <x:c r="H904" s="10" t="n">
        <x:v>25</x:v>
      </x:c>
      <x:c r="I904" s="11" t="n">
        <x:v>40</x:v>
      </x:c>
      <x:c r="J904" s="12" t="n">
        <x:v>0.1</x:v>
      </x:c>
      <x:c r="K904" s="11" t="n">
        <x:f>H904*I904*(1-J904)</x:f>
        <x:v>900</x:v>
      </x:c>
      <x:c r="L904" s="11" t="n">
        <x:f>H904*(I904*0.62)</x:f>
        <x:v>620</x:v>
      </x:c>
      <x:c r="M904" s="11" t="n">
        <x:f>K904-L904</x:f>
        <x:v>280</x:v>
      </x:c>
      <x:c r="N904" s="8" t="str">
        <x:v>Direct</x:v>
      </x:c>
      <x:c r="O904" s="8" t="str">
        <x:v>Invoice</x:v>
      </x:c>
      <x:c r="P904" s="8" t="str">
        <x:v>Closed Won</x:v>
      </x:c>
    </x:row>
    <x:row r="905">
      <x:c r="A905" s="8" t="str">
        <x:v>ORD-2025904</x:v>
      </x:c>
      <x:c r="B905" s="9" t="n">
        <x:v>45777</x:v>
      </x:c>
      <x:c r="C905" s="8" t="str">
        <x:v>South</x:v>
      </x:c>
      <x:c r="D905" s="8" t="str">
        <x:v>Ethan Garcia</x:v>
      </x:c>
      <x:c r="E905" s="8" t="str">
        <x:v>Pioneer Co</x:v>
      </x:c>
      <x:c r="F905" s="8" t="str">
        <x:v>Accessories</x:v>
      </x:c>
      <x:c r="G905" s="8" t="str">
        <x:v>Headset</x:v>
      </x:c>
      <x:c r="H905" s="10" t="n">
        <x:v>10</x:v>
      </x:c>
      <x:c r="I905" s="11" t="n">
        <x:v>85</x:v>
      </x:c>
      <x:c r="J905" s="12" t="n">
        <x:v>0</x:v>
      </x:c>
      <x:c r="K905" s="11" t="n">
        <x:f>H905*I905*(1-J905)</x:f>
        <x:v>850</x:v>
      </x:c>
      <x:c r="L905" s="11" t="n">
        <x:f>H905*(I905*0.62)</x:f>
        <x:v>527</x:v>
      </x:c>
      <x:c r="M905" s="11" t="n">
        <x:f>K905-L905</x:f>
        <x:v>323</x:v>
      </x:c>
      <x:c r="N905" s="8" t="str">
        <x:v>Direct</x:v>
      </x:c>
      <x:c r="O905" s="8" t="str">
        <x:v>Credit Card</x:v>
      </x:c>
      <x:c r="P905" s="8" t="str">
        <x:v>Closed Won</x:v>
      </x:c>
    </x:row>
    <x:row r="906">
      <x:c r="A906" s="8" t="str">
        <x:v>ORD-2025905</x:v>
      </x:c>
      <x:c r="B906" s="9" t="n">
        <x:v>45951</x:v>
      </x:c>
      <x:c r="C906" s="8" t="str">
        <x:v>East</x:v>
      </x:c>
      <x:c r="D906" s="8" t="str">
        <x:v>Noah Davis</x:v>
      </x:c>
      <x:c r="E906" s="8" t="str">
        <x:v>BrightPath LLC</x:v>
      </x:c>
      <x:c r="F906" s="8" t="str">
        <x:v>Hardware</x:v>
      </x:c>
      <x:c r="G906" s="8" t="str">
        <x:v>Laptop X</x:v>
      </x:c>
      <x:c r="H906" s="10" t="n">
        <x:v>13</x:v>
      </x:c>
      <x:c r="I906" s="11" t="n">
        <x:v>1500</x:v>
      </x:c>
      <x:c r="J906" s="12" t="n">
        <x:v>0.1</x:v>
      </x:c>
      <x:c r="K906" s="11" t="n">
        <x:f>H906*I906*(1-J906)</x:f>
        <x:v>17550</x:v>
      </x:c>
      <x:c r="L906" s="11" t="n">
        <x:f>H906*(I906*0.62)</x:f>
        <x:v>12090</x:v>
      </x:c>
      <x:c r="M906" s="11" t="n">
        <x:f>K906-L906</x:f>
        <x:v>5460</x:v>
      </x:c>
      <x:c r="N906" s="8" t="str">
        <x:v>Online</x:v>
      </x:c>
      <x:c r="O906" s="8" t="str">
        <x:v>Credit Card</x:v>
      </x:c>
      <x:c r="P906" s="8" t="str">
        <x:v>Closed Won</x:v>
      </x:c>
    </x:row>
    <x:row r="907">
      <x:c r="A907" s="8" t="str">
        <x:v>ORD-2025906</x:v>
      </x:c>
      <x:c r="B907" s="9" t="n">
        <x:v>45874</x:v>
      </x:c>
      <x:c r="C907" s="8" t="str">
        <x:v>East</x:v>
      </x:c>
      <x:c r="D907" s="8" t="str">
        <x:v>Sophia Kim</x:v>
      </x:c>
      <x:c r="E907" s="8" t="str">
        <x:v>Urban LLC</x:v>
      </x:c>
      <x:c r="F907" s="8" t="str">
        <x:v>Hardware</x:v>
      </x:c>
      <x:c r="G907" s="8" t="str">
        <x:v>Monitor 27</x:v>
      </x:c>
      <x:c r="H907" s="10" t="n">
        <x:v>17</x:v>
      </x:c>
      <x:c r="I907" s="11" t="n">
        <x:v>320</x:v>
      </x:c>
      <x:c r="J907" s="12" t="n">
        <x:v>0.15</x:v>
      </x:c>
      <x:c r="K907" s="11" t="n">
        <x:f>H907*I907*(1-J907)</x:f>
        <x:v>4624</x:v>
      </x:c>
      <x:c r="L907" s="11" t="n">
        <x:f>H907*(I907*0.62)</x:f>
        <x:v>3372.8</x:v>
      </x:c>
      <x:c r="M907" s="11" t="n">
        <x:f>K907-L907</x:f>
        <x:v>1251.1999999999998</x:v>
      </x:c>
      <x:c r="N907" s="8" t="str">
        <x:v>Online</x:v>
      </x:c>
      <x:c r="O907" s="8" t="str">
        <x:v>Bank Transfer</x:v>
      </x:c>
      <x:c r="P907" s="8" t="str">
        <x:v>Closed Won</x:v>
      </x:c>
    </x:row>
    <x:row r="908">
      <x:c r="A908" s="8" t="str">
        <x:v>ORD-2025907</x:v>
      </x:c>
      <x:c r="B908" s="9" t="n">
        <x:v>45819</x:v>
      </x:c>
      <x:c r="C908" s="8" t="str">
        <x:v>South</x:v>
      </x:c>
      <x:c r="D908" s="8" t="str">
        <x:v>Ethan Garcia</x:v>
      </x:c>
      <x:c r="E908" s="8" t="str">
        <x:v>Cedar LLC</x:v>
      </x:c>
      <x:c r="F908" s="8" t="str">
        <x:v>Software</x:v>
      </x:c>
      <x:c r="G908" s="8" t="str">
        <x:v>ProjectFlow</x:v>
      </x:c>
      <x:c r="H908" s="10" t="n">
        <x:v>16</x:v>
      </x:c>
      <x:c r="I908" s="11" t="n">
        <x:v>700</x:v>
      </x:c>
      <x:c r="J908" s="12" t="n">
        <x:v>0.15</x:v>
      </x:c>
      <x:c r="K908" s="11" t="n">
        <x:f>H908*I908*(1-J908)</x:f>
        <x:v>9520</x:v>
      </x:c>
      <x:c r="L908" s="11" t="n">
        <x:f>H908*(I908*0.62)</x:f>
        <x:v>6944</x:v>
      </x:c>
      <x:c r="M908" s="11" t="n">
        <x:f>K908-L908</x:f>
        <x:v>2576</x:v>
      </x:c>
      <x:c r="N908" s="8" t="str">
        <x:v>Partner</x:v>
      </x:c>
      <x:c r="O908" s="8" t="str">
        <x:v>Bank Transfer</x:v>
      </x:c>
      <x:c r="P908" s="8" t="str">
        <x:v>Shipped</x:v>
      </x:c>
    </x:row>
    <x:row r="909">
      <x:c r="A909" s="8" t="str">
        <x:v>ORD-2025908</x:v>
      </x:c>
      <x:c r="B909" s="9" t="n">
        <x:v>45964</x:v>
      </x:c>
      <x:c r="C909" s="8" t="str">
        <x:v>East</x:v>
      </x:c>
      <x:c r="D909" s="8" t="str">
        <x:v>Ethan Garcia</x:v>
      </x:c>
      <x:c r="E909" s="8" t="str">
        <x:v>Southridge LLC</x:v>
      </x:c>
      <x:c r="F909" s="8" t="str">
        <x:v>Hardware</x:v>
      </x:c>
      <x:c r="G909" s="8" t="str">
        <x:v>Laptop X</x:v>
      </x:c>
      <x:c r="H909" s="10" t="n">
        <x:v>23</x:v>
      </x:c>
      <x:c r="I909" s="11" t="n">
        <x:v>1500</x:v>
      </x:c>
      <x:c r="J909" s="12" t="n">
        <x:v>0</x:v>
      </x:c>
      <x:c r="K909" s="11" t="n">
        <x:f>H909*I909*(1-J909)</x:f>
        <x:v>34500</x:v>
      </x:c>
      <x:c r="L909" s="11" t="n">
        <x:f>H909*(I909*0.62)</x:f>
        <x:v>21390</x:v>
      </x:c>
      <x:c r="M909" s="11" t="n">
        <x:f>K909-L909</x:f>
        <x:v>13110</x:v>
      </x:c>
      <x:c r="N909" s="8" t="str">
        <x:v>Partner</x:v>
      </x:c>
      <x:c r="O909" s="8" t="str">
        <x:v>PayPal</x:v>
      </x:c>
      <x:c r="P909" s="8" t="str">
        <x:v>Shipped</x:v>
      </x:c>
    </x:row>
    <x:row r="910">
      <x:c r="A910" s="8" t="str">
        <x:v>ORD-2025909</x:v>
      </x:c>
      <x:c r="B910" s="9" t="n">
        <x:v>45807</x:v>
      </x:c>
      <x:c r="C910" s="8" t="str">
        <x:v>West</x:v>
      </x:c>
      <x:c r="D910" s="8" t="str">
        <x:v>Ava Patel</x:v>
      </x:c>
      <x:c r="E910" s="8" t="str">
        <x:v>BrightPath Co</x:v>
      </x:c>
      <x:c r="F910" s="8" t="str">
        <x:v>Hardware</x:v>
      </x:c>
      <x:c r="G910" s="8" t="str">
        <x:v>Monitor 27</x:v>
      </x:c>
      <x:c r="H910" s="10" t="n">
        <x:v>5</x:v>
      </x:c>
      <x:c r="I910" s="11" t="n">
        <x:v>320</x:v>
      </x:c>
      <x:c r="J910" s="12" t="n">
        <x:v>0.2</x:v>
      </x:c>
      <x:c r="K910" s="11" t="n">
        <x:f>H910*I910*(1-J910)</x:f>
        <x:v>1280</x:v>
      </x:c>
      <x:c r="L910" s="11" t="n">
        <x:f>H910*(I910*0.62)</x:f>
        <x:v>992</x:v>
      </x:c>
      <x:c r="M910" s="11" t="n">
        <x:f>K910-L910</x:f>
        <x:v>288</x:v>
      </x:c>
      <x:c r="N910" s="8" t="str">
        <x:v>Online</x:v>
      </x:c>
      <x:c r="O910" s="8" t="str">
        <x:v>Bank Transfer</x:v>
      </x:c>
      <x:c r="P910" s="8" t="str">
        <x:v>Returned</x:v>
      </x:c>
    </x:row>
    <x:row r="911">
      <x:c r="A911" s="8" t="str">
        <x:v>ORD-2025910</x:v>
      </x:c>
      <x:c r="B911" s="9" t="n">
        <x:v>45749</x:v>
      </x:c>
      <x:c r="C911" s="8" t="str">
        <x:v>West</x:v>
      </x:c>
      <x:c r="D911" s="8" t="str">
        <x:v>Lucas Brown</x:v>
      </x:c>
      <x:c r="E911" s="8" t="str">
        <x:v>Vertex Co</x:v>
      </x:c>
      <x:c r="F911" s="8" t="str">
        <x:v>Hardware</x:v>
      </x:c>
      <x:c r="G911" s="8" t="str">
        <x:v>Laptop X</x:v>
      </x:c>
      <x:c r="H911" s="10" t="n">
        <x:v>22</x:v>
      </x:c>
      <x:c r="I911" s="11" t="n">
        <x:v>1500</x:v>
      </x:c>
      <x:c r="J911" s="12" t="n">
        <x:v>0.2</x:v>
      </x:c>
      <x:c r="K911" s="11" t="n">
        <x:f>H911*I911*(1-J911)</x:f>
        <x:v>26400</x:v>
      </x:c>
      <x:c r="L911" s="11" t="n">
        <x:f>H911*(I911*0.62)</x:f>
        <x:v>20460</x:v>
      </x:c>
      <x:c r="M911" s="11" t="n">
        <x:f>K911-L911</x:f>
        <x:v>5940</x:v>
      </x:c>
      <x:c r="N911" s="8" t="str">
        <x:v>Direct</x:v>
      </x:c>
      <x:c r="O911" s="8" t="str">
        <x:v>Credit Card</x:v>
      </x:c>
      <x:c r="P911" s="8" t="str">
        <x:v>Pending</x:v>
      </x:c>
    </x:row>
    <x:row r="912">
      <x:c r="A912" s="8" t="str">
        <x:v>ORD-2025911</x:v>
      </x:c>
      <x:c r="B912" s="9" t="n">
        <x:v>46005</x:v>
      </x:c>
      <x:c r="C912" s="8" t="str">
        <x:v>West</x:v>
      </x:c>
      <x:c r="D912" s="8" t="str">
        <x:v>Sophia Kim</x:v>
      </x:c>
      <x:c r="E912" s="8" t="str">
        <x:v>SilverLine Co</x:v>
      </x:c>
      <x:c r="F912" s="8" t="str">
        <x:v>Services</x:v>
      </x:c>
      <x:c r="G912" s="8" t="str">
        <x:v>Consulting Day</x:v>
      </x:c>
      <x:c r="H912" s="10" t="n">
        <x:v>13</x:v>
      </x:c>
      <x:c r="I912" s="11" t="n">
        <x:v>1400</x:v>
      </x:c>
      <x:c r="J912" s="12" t="n">
        <x:v>0</x:v>
      </x:c>
      <x:c r="K912" s="11" t="n">
        <x:f>H912*I912*(1-J912)</x:f>
        <x:v>18200</x:v>
      </x:c>
      <x:c r="L912" s="11" t="n">
        <x:f>H912*(I912*0.62)</x:f>
        <x:v>11284</x:v>
      </x:c>
      <x:c r="M912" s="11" t="n">
        <x:f>K912-L912</x:f>
        <x:v>6916</x:v>
      </x:c>
      <x:c r="N912" s="8" t="str">
        <x:v>Online</x:v>
      </x:c>
      <x:c r="O912" s="8" t="str">
        <x:v>Invoice</x:v>
      </x:c>
      <x:c r="P912" s="8" t="str">
        <x:v>Closed Won</x:v>
      </x:c>
    </x:row>
    <x:row r="913">
      <x:c r="A913" s="8" t="str">
        <x:v>ORD-2025912</x:v>
      </x:c>
      <x:c r="B913" s="9" t="n">
        <x:v>45707</x:v>
      </x:c>
      <x:c r="C913" s="8" t="str">
        <x:v>South</x:v>
      </x:c>
      <x:c r="D913" s="8" t="str">
        <x:v>Sophia Kim</x:v>
      </x:c>
      <x:c r="E913" s="8" t="str">
        <x:v>Ironwood Co</x:v>
      </x:c>
      <x:c r="F913" s="8" t="str">
        <x:v>Hardware</x:v>
      </x:c>
      <x:c r="G913" s="8" t="str">
        <x:v>Monitor 27</x:v>
      </x:c>
      <x:c r="H913" s="10" t="n">
        <x:v>2</x:v>
      </x:c>
      <x:c r="I913" s="11" t="n">
        <x:v>320</x:v>
      </x:c>
      <x:c r="J913" s="12" t="n">
        <x:v>0.2</x:v>
      </x:c>
      <x:c r="K913" s="11" t="n">
        <x:f>H913*I913*(1-J913)</x:f>
        <x:v>512</x:v>
      </x:c>
      <x:c r="L913" s="11" t="n">
        <x:f>H913*(I913*0.62)</x:f>
        <x:v>396.8</x:v>
      </x:c>
      <x:c r="M913" s="11" t="n">
        <x:f>K913-L913</x:f>
        <x:v>115.19999999999999</x:v>
      </x:c>
      <x:c r="N913" s="8" t="str">
        <x:v>Online</x:v>
      </x:c>
      <x:c r="O913" s="8" t="str">
        <x:v>Invoice</x:v>
      </x:c>
      <x:c r="P913" s="8" t="str">
        <x:v>Pending</x:v>
      </x:c>
    </x:row>
    <x:row r="914">
      <x:c r="A914" s="8" t="str">
        <x:v>ORD-2025913</x:v>
      </x:c>
      <x:c r="B914" s="9" t="n">
        <x:v>45884</x:v>
      </x:c>
      <x:c r="C914" s="8" t="str">
        <x:v>West</x:v>
      </x:c>
      <x:c r="D914" s="8" t="str">
        <x:v>Ethan Garcia</x:v>
      </x:c>
      <x:c r="E914" s="8" t="str">
        <x:v>Urban Co</x:v>
      </x:c>
      <x:c r="F914" s="8" t="str">
        <x:v>Hardware</x:v>
      </x:c>
      <x:c r="G914" s="8" t="str">
        <x:v>Tablet Air</x:v>
      </x:c>
      <x:c r="H914" s="10" t="n">
        <x:v>7</x:v>
      </x:c>
      <x:c r="I914" s="11" t="n">
        <x:v>820</x:v>
      </x:c>
      <x:c r="J914" s="12" t="n">
        <x:v>0</x:v>
      </x:c>
      <x:c r="K914" s="11" t="n">
        <x:f>H914*I914*(1-J914)</x:f>
        <x:v>5740</x:v>
      </x:c>
      <x:c r="L914" s="11" t="n">
        <x:f>H914*(I914*0.62)</x:f>
        <x:v>3558.7999999999997</x:v>
      </x:c>
      <x:c r="M914" s="11" t="n">
        <x:f>K914-L914</x:f>
        <x:v>2181.2000000000003</x:v>
      </x:c>
      <x:c r="N914" s="8" t="str">
        <x:v>Online</x:v>
      </x:c>
      <x:c r="O914" s="8" t="str">
        <x:v>Bank Transfer</x:v>
      </x:c>
      <x:c r="P914" s="8" t="str">
        <x:v>Shipped</x:v>
      </x:c>
    </x:row>
    <x:row r="915">
      <x:c r="A915" s="8" t="str">
        <x:v>ORD-2025914</x:v>
      </x:c>
      <x:c r="B915" s="9" t="n">
        <x:v>45952</x:v>
      </x:c>
      <x:c r="C915" s="8" t="str">
        <x:v>North</x:v>
      </x:c>
      <x:c r="D915" s="8" t="str">
        <x:v>Noah Davis</x:v>
      </x:c>
      <x:c r="E915" s="8" t="str">
        <x:v>SilverLine LLC</x:v>
      </x:c>
      <x:c r="F915" s="8" t="str">
        <x:v>Software</x:v>
      </x:c>
      <x:c r="G915" s="8" t="str">
        <x:v>HR Suite</x:v>
      </x:c>
      <x:c r="H915" s="10" t="n">
        <x:v>14</x:v>
      </x:c>
      <x:c r="I915" s="11" t="n">
        <x:v>950</x:v>
      </x:c>
      <x:c r="J915" s="12" t="n">
        <x:v>0.15</x:v>
      </x:c>
      <x:c r="K915" s="11" t="n">
        <x:f>H915*I915*(1-J915)</x:f>
        <x:v>11305</x:v>
      </x:c>
      <x:c r="L915" s="11" t="n">
        <x:f>H915*(I915*0.62)</x:f>
        <x:v>8246</x:v>
      </x:c>
      <x:c r="M915" s="11" t="n">
        <x:f>K915-L915</x:f>
        <x:v>3059</x:v>
      </x:c>
      <x:c r="N915" s="8" t="str">
        <x:v>Direct</x:v>
      </x:c>
      <x:c r="O915" s="8" t="str">
        <x:v>Credit Card</x:v>
      </x:c>
      <x:c r="P915" s="8" t="str">
        <x:v>Closed Won</x:v>
      </x:c>
    </x:row>
    <x:row r="916">
      <x:c r="A916" s="8" t="str">
        <x:v>ORD-2025915</x:v>
      </x:c>
      <x:c r="B916" s="9" t="n">
        <x:v>45684</x:v>
      </x:c>
      <x:c r="C916" s="8" t="str">
        <x:v>North</x:v>
      </x:c>
      <x:c r="D916" s="8" t="str">
        <x:v>Mason Lee</x:v>
      </x:c>
      <x:c r="E916" s="8" t="str">
        <x:v>BrightPath Group</x:v>
      </x:c>
      <x:c r="F916" s="8" t="str">
        <x:v>Accessories</x:v>
      </x:c>
      <x:c r="G916" s="8" t="str">
        <x:v>Keyboard Pro</x:v>
      </x:c>
      <x:c r="H916" s="10" t="n">
        <x:v>19</x:v>
      </x:c>
      <x:c r="I916" s="11" t="n">
        <x:v>95</x:v>
      </x:c>
      <x:c r="J916" s="12" t="n">
        <x:v>0.05</x:v>
      </x:c>
      <x:c r="K916" s="11" t="n">
        <x:f>H916*I916*(1-J916)</x:f>
        <x:v>1714.75</x:v>
      </x:c>
      <x:c r="L916" s="11" t="n">
        <x:f>H916*(I916*0.62)</x:f>
        <x:v>1119.1</x:v>
      </x:c>
      <x:c r="M916" s="11" t="n">
        <x:f>K916-L916</x:f>
        <x:v>595.6500000000001</x:v>
      </x:c>
      <x:c r="N916" s="8" t="str">
        <x:v>Direct</x:v>
      </x:c>
      <x:c r="O916" s="8" t="str">
        <x:v>PayPal</x:v>
      </x:c>
      <x:c r="P916" s="8" t="str">
        <x:v>Closed Won</x:v>
      </x:c>
    </x:row>
    <x:row r="917">
      <x:c r="A917" s="8" t="str">
        <x:v>ORD-2025916</x:v>
      </x:c>
      <x:c r="B917" s="9" t="n">
        <x:v>45861</x:v>
      </x:c>
      <x:c r="C917" s="8" t="str">
        <x:v>West</x:v>
      </x:c>
      <x:c r="D917" s="8" t="str">
        <x:v>Ethan Garcia</x:v>
      </x:c>
      <x:c r="E917" s="8" t="str">
        <x:v>Nova LLC</x:v>
      </x:c>
      <x:c r="F917" s="8" t="str">
        <x:v>Software</x:v>
      </x:c>
      <x:c r="G917" s="8" t="str">
        <x:v>Analytics Cloud</x:v>
      </x:c>
      <x:c r="H917" s="10" t="n">
        <x:v>6</x:v>
      </x:c>
      <x:c r="I917" s="11" t="n">
        <x:v>1800</x:v>
      </x:c>
      <x:c r="J917" s="12" t="n">
        <x:v>0.15</x:v>
      </x:c>
      <x:c r="K917" s="11" t="n">
        <x:f>H917*I917*(1-J917)</x:f>
        <x:v>9180</x:v>
      </x:c>
      <x:c r="L917" s="11" t="n">
        <x:f>H917*(I917*0.62)</x:f>
        <x:v>6696</x:v>
      </x:c>
      <x:c r="M917" s="11" t="n">
        <x:f>K917-L917</x:f>
        <x:v>2484</x:v>
      </x:c>
      <x:c r="N917" s="8" t="str">
        <x:v>Online</x:v>
      </x:c>
      <x:c r="O917" s="8" t="str">
        <x:v>PayPal</x:v>
      </x:c>
      <x:c r="P917" s="8" t="str">
        <x:v>Shipped</x:v>
      </x:c>
    </x:row>
    <x:row r="918">
      <x:c r="A918" s="8" t="str">
        <x:v>ORD-2025917</x:v>
      </x:c>
      <x:c r="B918" s="9" t="n">
        <x:v>45990</x:v>
      </x:c>
      <x:c r="C918" s="8" t="str">
        <x:v>West</x:v>
      </x:c>
      <x:c r="D918" s="8" t="str">
        <x:v>Ethan Garcia</x:v>
      </x:c>
      <x:c r="E918" s="8" t="str">
        <x:v>GoldenGate LLC</x:v>
      </x:c>
      <x:c r="F918" s="8" t="str">
        <x:v>Software</x:v>
      </x:c>
      <x:c r="G918" s="8" t="str">
        <x:v>ProjectFlow</x:v>
      </x:c>
      <x:c r="H918" s="10" t="n">
        <x:v>12</x:v>
      </x:c>
      <x:c r="I918" s="11" t="n">
        <x:v>700</x:v>
      </x:c>
      <x:c r="J918" s="12" t="n">
        <x:v>0</x:v>
      </x:c>
      <x:c r="K918" s="11" t="n">
        <x:f>H918*I918*(1-J918)</x:f>
        <x:v>8400</x:v>
      </x:c>
      <x:c r="L918" s="11" t="n">
        <x:f>H918*(I918*0.62)</x:f>
        <x:v>5208</x:v>
      </x:c>
      <x:c r="M918" s="11" t="n">
        <x:f>K918-L918</x:f>
        <x:v>3192</x:v>
      </x:c>
      <x:c r="N918" s="8" t="str">
        <x:v>Direct</x:v>
      </x:c>
      <x:c r="O918" s="8" t="str">
        <x:v>Credit Card</x:v>
      </x:c>
      <x:c r="P918" s="8" t="str">
        <x:v>Closed Won</x:v>
      </x:c>
    </x:row>
    <x:row r="919">
      <x:c r="A919" s="8" t="str">
        <x:v>ORD-2025918</x:v>
      </x:c>
      <x:c r="B919" s="9" t="n">
        <x:v>45669</x:v>
      </x:c>
      <x:c r="C919" s="8" t="str">
        <x:v>Central</x:v>
      </x:c>
      <x:c r="D919" s="8" t="str">
        <x:v>Emma Martin</x:v>
      </x:c>
      <x:c r="E919" s="8" t="str">
        <x:v>Ironwood Inc</x:v>
      </x:c>
      <x:c r="F919" s="8" t="str">
        <x:v>Accessories</x:v>
      </x:c>
      <x:c r="G919" s="8" t="str">
        <x:v>Keyboard Pro</x:v>
      </x:c>
      <x:c r="H919" s="10" t="n">
        <x:v>16</x:v>
      </x:c>
      <x:c r="I919" s="11" t="n">
        <x:v>95</x:v>
      </x:c>
      <x:c r="J919" s="12" t="n">
        <x:v>0</x:v>
      </x:c>
      <x:c r="K919" s="11" t="n">
        <x:f>H919*I919*(1-J919)</x:f>
        <x:v>1520</x:v>
      </x:c>
      <x:c r="L919" s="11" t="n">
        <x:f>H919*(I919*0.62)</x:f>
        <x:v>942.4</x:v>
      </x:c>
      <x:c r="M919" s="11" t="n">
        <x:f>K919-L919</x:f>
        <x:v>577.6</x:v>
      </x:c>
      <x:c r="N919" s="8" t="str">
        <x:v>Online</x:v>
      </x:c>
      <x:c r="O919" s="8" t="str">
        <x:v>Credit Card</x:v>
      </x:c>
      <x:c r="P919" s="8" t="str">
        <x:v>Shipped</x:v>
      </x:c>
    </x:row>
    <x:row r="920">
      <x:c r="A920" s="8" t="str">
        <x:v>ORD-2025919</x:v>
      </x:c>
      <x:c r="B920" s="9" t="n">
        <x:v>45905</x:v>
      </x:c>
      <x:c r="C920" s="8" t="str">
        <x:v>West</x:v>
      </x:c>
      <x:c r="D920" s="8" t="str">
        <x:v>Ethan Garcia</x:v>
      </x:c>
      <x:c r="E920" s="8" t="str">
        <x:v>Ironwood Inc</x:v>
      </x:c>
      <x:c r="F920" s="8" t="str">
        <x:v>Hardware</x:v>
      </x:c>
      <x:c r="G920" s="8" t="str">
        <x:v>Monitor 27</x:v>
      </x:c>
      <x:c r="H920" s="10" t="n">
        <x:v>5</x:v>
      </x:c>
      <x:c r="I920" s="11" t="n">
        <x:v>320</x:v>
      </x:c>
      <x:c r="J920" s="12" t="n">
        <x:v>0</x:v>
      </x:c>
      <x:c r="K920" s="11" t="n">
        <x:f>H920*I920*(1-J920)</x:f>
        <x:v>1600</x:v>
      </x:c>
      <x:c r="L920" s="11" t="n">
        <x:f>H920*(I920*0.62)</x:f>
        <x:v>992</x:v>
      </x:c>
      <x:c r="M920" s="11" t="n">
        <x:f>K920-L920</x:f>
        <x:v>608</x:v>
      </x:c>
      <x:c r="N920" s="8" t="str">
        <x:v>Partner</x:v>
      </x:c>
      <x:c r="O920" s="8" t="str">
        <x:v>Credit Card</x:v>
      </x:c>
      <x:c r="P920" s="8" t="str">
        <x:v>Shipped</x:v>
      </x:c>
    </x:row>
    <x:row r="921">
      <x:c r="A921" s="8" t="str">
        <x:v>ORD-2025920</x:v>
      </x:c>
      <x:c r="B921" s="9" t="n">
        <x:v>46016</x:v>
      </x:c>
      <x:c r="C921" s="8" t="str">
        <x:v>North</x:v>
      </x:c>
      <x:c r="D921" s="8" t="str">
        <x:v>Lucas Brown</x:v>
      </x:c>
      <x:c r="E921" s="8" t="str">
        <x:v>Maple Group</x:v>
      </x:c>
      <x:c r="F921" s="8" t="str">
        <x:v>Hardware</x:v>
      </x:c>
      <x:c r="G921" s="8" t="str">
        <x:v>Monitor 27</x:v>
      </x:c>
      <x:c r="H921" s="10" t="n">
        <x:v>18</x:v>
      </x:c>
      <x:c r="I921" s="11" t="n">
        <x:v>320</x:v>
      </x:c>
      <x:c r="J921" s="12" t="n">
        <x:v>0.2</x:v>
      </x:c>
      <x:c r="K921" s="11" t="n">
        <x:f>H921*I921*(1-J921)</x:f>
        <x:v>4608</x:v>
      </x:c>
      <x:c r="L921" s="11" t="n">
        <x:f>H921*(I921*0.62)</x:f>
        <x:v>3571.2000000000003</x:v>
      </x:c>
      <x:c r="M921" s="11" t="n">
        <x:f>K921-L921</x:f>
        <x:v>1036.7999999999997</x:v>
      </x:c>
      <x:c r="N921" s="8" t="str">
        <x:v>Online</x:v>
      </x:c>
      <x:c r="O921" s="8" t="str">
        <x:v>PayPal</x:v>
      </x:c>
      <x:c r="P921" s="8" t="str">
        <x:v>Closed Won</x:v>
      </x:c>
    </x:row>
    <x:row r="922">
      <x:c r="A922" s="8" t="str">
        <x:v>ORD-2025921</x:v>
      </x:c>
      <x:c r="B922" s="9" t="n">
        <x:v>45995</x:v>
      </x:c>
      <x:c r="C922" s="8" t="str">
        <x:v>North</x:v>
      </x:c>
      <x:c r="D922" s="8" t="str">
        <x:v>Noah Davis</x:v>
      </x:c>
      <x:c r="E922" s="8" t="str">
        <x:v>Nova LLC</x:v>
      </x:c>
      <x:c r="F922" s="8" t="str">
        <x:v>Software</x:v>
      </x:c>
      <x:c r="G922" s="8" t="str">
        <x:v>Analytics Cloud</x:v>
      </x:c>
      <x:c r="H922" s="10" t="n">
        <x:v>23</x:v>
      </x:c>
      <x:c r="I922" s="11" t="n">
        <x:v>1800</x:v>
      </x:c>
      <x:c r="J922" s="12" t="n">
        <x:v>0</x:v>
      </x:c>
      <x:c r="K922" s="11" t="n">
        <x:f>H922*I922*(1-J922)</x:f>
        <x:v>41400</x:v>
      </x:c>
      <x:c r="L922" s="11" t="n">
        <x:f>H922*(I922*0.62)</x:f>
        <x:v>25668</x:v>
      </x:c>
      <x:c r="M922" s="11" t="n">
        <x:f>K922-L922</x:f>
        <x:v>15732</x:v>
      </x:c>
      <x:c r="N922" s="8" t="str">
        <x:v>Direct</x:v>
      </x:c>
      <x:c r="O922" s="8" t="str">
        <x:v>PayPal</x:v>
      </x:c>
      <x:c r="P922" s="8" t="str">
        <x:v>Returned</x:v>
      </x:c>
    </x:row>
    <x:row r="923">
      <x:c r="A923" s="8" t="str">
        <x:v>ORD-2025922</x:v>
      </x:c>
      <x:c r="B923" s="9" t="n">
        <x:v>45723</x:v>
      </x:c>
      <x:c r="C923" s="8" t="str">
        <x:v>Central</x:v>
      </x:c>
      <x:c r="D923" s="8" t="str">
        <x:v>Mia Johnson</x:v>
      </x:c>
      <x:c r="E923" s="8" t="str">
        <x:v>GreenLeaf LLC</x:v>
      </x:c>
      <x:c r="F923" s="8" t="str">
        <x:v>Software</x:v>
      </x:c>
      <x:c r="G923" s="8" t="str">
        <x:v>CRM Pro</x:v>
      </x:c>
      <x:c r="H923" s="10" t="n">
        <x:v>3</x:v>
      </x:c>
      <x:c r="I923" s="11" t="n">
        <x:v>1200</x:v>
      </x:c>
      <x:c r="J923" s="12" t="n">
        <x:v>0.1</x:v>
      </x:c>
      <x:c r="K923" s="11" t="n">
        <x:f>H923*I923*(1-J923)</x:f>
        <x:v>3240</x:v>
      </x:c>
      <x:c r="L923" s="11" t="n">
        <x:f>H923*(I923*0.62)</x:f>
        <x:v>2232</x:v>
      </x:c>
      <x:c r="M923" s="11" t="n">
        <x:f>K923-L923</x:f>
        <x:v>1008</x:v>
      </x:c>
      <x:c r="N923" s="8" t="str">
        <x:v>Partner</x:v>
      </x:c>
      <x:c r="O923" s="8" t="str">
        <x:v>Credit Card</x:v>
      </x:c>
      <x:c r="P923" s="8" t="str">
        <x:v>Closed Won</x:v>
      </x:c>
    </x:row>
    <x:row r="924">
      <x:c r="A924" s="8" t="str">
        <x:v>ORD-2025923</x:v>
      </x:c>
      <x:c r="B924" s="9" t="n">
        <x:v>45844</x:v>
      </x:c>
      <x:c r="C924" s="8" t="str">
        <x:v>Central</x:v>
      </x:c>
      <x:c r="D924" s="8" t="str">
        <x:v>Noah Davis</x:v>
      </x:c>
      <x:c r="E924" s="8" t="str">
        <x:v>RedStone Co</x:v>
      </x:c>
      <x:c r="F924" s="8" t="str">
        <x:v>Software</x:v>
      </x:c>
      <x:c r="G924" s="8" t="str">
        <x:v>HR Suite</x:v>
      </x:c>
      <x:c r="H924" s="10" t="n">
        <x:v>22</x:v>
      </x:c>
      <x:c r="I924" s="11" t="n">
        <x:v>950</x:v>
      </x:c>
      <x:c r="J924" s="12" t="n">
        <x:v>0</x:v>
      </x:c>
      <x:c r="K924" s="11" t="n">
        <x:f>H924*I924*(1-J924)</x:f>
        <x:v>20900</x:v>
      </x:c>
      <x:c r="L924" s="11" t="n">
        <x:f>H924*(I924*0.62)</x:f>
        <x:v>12958</x:v>
      </x:c>
      <x:c r="M924" s="11" t="n">
        <x:f>K924-L924</x:f>
        <x:v>7942</x:v>
      </x:c>
      <x:c r="N924" s="8" t="str">
        <x:v>Direct</x:v>
      </x:c>
      <x:c r="O924" s="8" t="str">
        <x:v>Invoice</x:v>
      </x:c>
      <x:c r="P924" s="8" t="str">
        <x:v>Closed Won</x:v>
      </x:c>
    </x:row>
    <x:row r="925">
      <x:c r="A925" s="8" t="str">
        <x:v>ORD-2025924</x:v>
      </x:c>
      <x:c r="B925" s="9" t="n">
        <x:v>45729</x:v>
      </x:c>
      <x:c r="C925" s="8" t="str">
        <x:v>Central</x:v>
      </x:c>
      <x:c r="D925" s="8" t="str">
        <x:v>Olivia Wilson</x:v>
      </x:c>
      <x:c r="E925" s="8" t="str">
        <x:v>BrightPath LLC</x:v>
      </x:c>
      <x:c r="F925" s="8" t="str">
        <x:v>Services</x:v>
      </x:c>
      <x:c r="G925" s="8" t="str">
        <x:v>Consulting Day</x:v>
      </x:c>
      <x:c r="H925" s="10" t="n">
        <x:v>17</x:v>
      </x:c>
      <x:c r="I925" s="11" t="n">
        <x:v>1400</x:v>
      </x:c>
      <x:c r="J925" s="12" t="n">
        <x:v>0</x:v>
      </x:c>
      <x:c r="K925" s="11" t="n">
        <x:f>H925*I925*(1-J925)</x:f>
        <x:v>23800</x:v>
      </x:c>
      <x:c r="L925" s="11" t="n">
        <x:f>H925*(I925*0.62)</x:f>
        <x:v>14756</x:v>
      </x:c>
      <x:c r="M925" s="11" t="n">
        <x:f>K925-L925</x:f>
        <x:v>9044</x:v>
      </x:c>
      <x:c r="N925" s="8" t="str">
        <x:v>Online</x:v>
      </x:c>
      <x:c r="O925" s="8" t="str">
        <x:v>Bank Transfer</x:v>
      </x:c>
      <x:c r="P925" s="8" t="str">
        <x:v>Shipped</x:v>
      </x:c>
    </x:row>
    <x:row r="926">
      <x:c r="A926" s="8" t="str">
        <x:v>ORD-2025925</x:v>
      </x:c>
      <x:c r="B926" s="9" t="n">
        <x:v>45676</x:v>
      </x:c>
      <x:c r="C926" s="8" t="str">
        <x:v>South</x:v>
      </x:c>
      <x:c r="D926" s="8" t="str">
        <x:v>Noah Davis</x:v>
      </x:c>
      <x:c r="E926" s="8" t="str">
        <x:v>Vertex Co</x:v>
      </x:c>
      <x:c r="F926" s="8" t="str">
        <x:v>Software</x:v>
      </x:c>
      <x:c r="G926" s="8" t="str">
        <x:v>Analytics Cloud</x:v>
      </x:c>
      <x:c r="H926" s="10" t="n">
        <x:v>7</x:v>
      </x:c>
      <x:c r="I926" s="11" t="n">
        <x:v>1800</x:v>
      </x:c>
      <x:c r="J926" s="12" t="n">
        <x:v>0</x:v>
      </x:c>
      <x:c r="K926" s="11" t="n">
        <x:f>H926*I926*(1-J926)</x:f>
        <x:v>12600</x:v>
      </x:c>
      <x:c r="L926" s="11" t="n">
        <x:f>H926*(I926*0.62)</x:f>
        <x:v>7812</x:v>
      </x:c>
      <x:c r="M926" s="11" t="n">
        <x:f>K926-L926</x:f>
        <x:v>4788</x:v>
      </x:c>
      <x:c r="N926" s="8" t="str">
        <x:v>Online</x:v>
      </x:c>
      <x:c r="O926" s="8" t="str">
        <x:v>Bank Transfer</x:v>
      </x:c>
      <x:c r="P926" s="8" t="str">
        <x:v>Shipped</x:v>
      </x:c>
    </x:row>
    <x:row r="927">
      <x:c r="A927" s="8" t="str">
        <x:v>ORD-2025926</x:v>
      </x:c>
      <x:c r="B927" s="9" t="n">
        <x:v>45976</x:v>
      </x:c>
      <x:c r="C927" s="8" t="str">
        <x:v>West</x:v>
      </x:c>
      <x:c r="D927" s="8" t="str">
        <x:v>Liam Chen</x:v>
      </x:c>
      <x:c r="E927" s="8" t="str">
        <x:v>Maple Co</x:v>
      </x:c>
      <x:c r="F927" s="8" t="str">
        <x:v>Services</x:v>
      </x:c>
      <x:c r="G927" s="8" t="str">
        <x:v>Training</x:v>
      </x:c>
      <x:c r="H927" s="10" t="n">
        <x:v>9</x:v>
      </x:c>
      <x:c r="I927" s="11" t="n">
        <x:v>900</x:v>
      </x:c>
      <x:c r="J927" s="12" t="n">
        <x:v>0</x:v>
      </x:c>
      <x:c r="K927" s="11" t="n">
        <x:f>H927*I927*(1-J927)</x:f>
        <x:v>8100</x:v>
      </x:c>
      <x:c r="L927" s="11" t="n">
        <x:f>H927*(I927*0.62)</x:f>
        <x:v>5022</x:v>
      </x:c>
      <x:c r="M927" s="11" t="n">
        <x:f>K927-L927</x:f>
        <x:v>3078</x:v>
      </x:c>
      <x:c r="N927" s="8" t="str">
        <x:v>Partner</x:v>
      </x:c>
      <x:c r="O927" s="8" t="str">
        <x:v>Bank Transfer</x:v>
      </x:c>
      <x:c r="P927" s="8" t="str">
        <x:v>Closed Won</x:v>
      </x:c>
    </x:row>
    <x:row r="928">
      <x:c r="A928" s="8" t="str">
        <x:v>ORD-2025927</x:v>
      </x:c>
      <x:c r="B928" s="9" t="n">
        <x:v>46004</x:v>
      </x:c>
      <x:c r="C928" s="8" t="str">
        <x:v>West</x:v>
      </x:c>
      <x:c r="D928" s="8" t="str">
        <x:v>Noah Davis</x:v>
      </x:c>
      <x:c r="E928" s="8" t="str">
        <x:v>Maple LLC</x:v>
      </x:c>
      <x:c r="F928" s="8" t="str">
        <x:v>Software</x:v>
      </x:c>
      <x:c r="G928" s="8" t="str">
        <x:v>HR Suite</x:v>
      </x:c>
      <x:c r="H928" s="10" t="n">
        <x:v>7</x:v>
      </x:c>
      <x:c r="I928" s="11" t="n">
        <x:v>950</x:v>
      </x:c>
      <x:c r="J928" s="12" t="n">
        <x:v>0</x:v>
      </x:c>
      <x:c r="K928" s="11" t="n">
        <x:f>H928*I928*(1-J928)</x:f>
        <x:v>6650</x:v>
      </x:c>
      <x:c r="L928" s="11" t="n">
        <x:f>H928*(I928*0.62)</x:f>
        <x:v>4123</x:v>
      </x:c>
      <x:c r="M928" s="11" t="n">
        <x:f>K928-L928</x:f>
        <x:v>2527</x:v>
      </x:c>
      <x:c r="N928" s="8" t="str">
        <x:v>Online</x:v>
      </x:c>
      <x:c r="O928" s="8" t="str">
        <x:v>Invoice</x:v>
      </x:c>
      <x:c r="P928" s="8" t="str">
        <x:v>Cancelled</x:v>
      </x:c>
    </x:row>
    <x:row r="929">
      <x:c r="A929" s="8" t="str">
        <x:v>ORD-2025928</x:v>
      </x:c>
      <x:c r="B929" s="9" t="n">
        <x:v>45946</x:v>
      </x:c>
      <x:c r="C929" s="8" t="str">
        <x:v>Central</x:v>
      </x:c>
      <x:c r="D929" s="8" t="str">
        <x:v>Emma Martin</x:v>
      </x:c>
      <x:c r="E929" s="8" t="str">
        <x:v>GreenLeaf LLC</x:v>
      </x:c>
      <x:c r="F929" s="8" t="str">
        <x:v>Hardware</x:v>
      </x:c>
      <x:c r="G929" s="8" t="str">
        <x:v>Dock Station</x:v>
      </x:c>
      <x:c r="H929" s="10" t="n">
        <x:v>14</x:v>
      </x:c>
      <x:c r="I929" s="11" t="n">
        <x:v>180</x:v>
      </x:c>
      <x:c r="J929" s="12" t="n">
        <x:v>0.2</x:v>
      </x:c>
      <x:c r="K929" s="11" t="n">
        <x:f>H929*I929*(1-J929)</x:f>
        <x:v>2016</x:v>
      </x:c>
      <x:c r="L929" s="11" t="n">
        <x:f>H929*(I929*0.62)</x:f>
        <x:v>1562.3999999999999</x:v>
      </x:c>
      <x:c r="M929" s="11" t="n">
        <x:f>K929-L929</x:f>
        <x:v>453.60000000000014</x:v>
      </x:c>
      <x:c r="N929" s="8" t="str">
        <x:v>Direct</x:v>
      </x:c>
      <x:c r="O929" s="8" t="str">
        <x:v>Invoice</x:v>
      </x:c>
      <x:c r="P929" s="8" t="str">
        <x:v>Cancelled</x:v>
      </x:c>
    </x:row>
    <x:row r="930">
      <x:c r="A930" s="8" t="str">
        <x:v>ORD-2025929</x:v>
      </x:c>
      <x:c r="B930" s="9" t="n">
        <x:v>45671</x:v>
      </x:c>
      <x:c r="C930" s="8" t="str">
        <x:v>Central</x:v>
      </x:c>
      <x:c r="D930" s="8" t="str">
        <x:v>Mia Johnson</x:v>
      </x:c>
      <x:c r="E930" s="8" t="str">
        <x:v>BlueSky Inc</x:v>
      </x:c>
      <x:c r="F930" s="8" t="str">
        <x:v>Accessories</x:v>
      </x:c>
      <x:c r="G930" s="8" t="str">
        <x:v>Headset</x:v>
      </x:c>
      <x:c r="H930" s="10" t="n">
        <x:v>9</x:v>
      </x:c>
      <x:c r="I930" s="11" t="n">
        <x:v>85</x:v>
      </x:c>
      <x:c r="J930" s="12" t="n">
        <x:v>0</x:v>
      </x:c>
      <x:c r="K930" s="11" t="n">
        <x:f>H930*I930*(1-J930)</x:f>
        <x:v>765</x:v>
      </x:c>
      <x:c r="L930" s="11" t="n">
        <x:f>H930*(I930*0.62)</x:f>
        <x:v>474.3</x:v>
      </x:c>
      <x:c r="M930" s="11" t="n">
        <x:f>K930-L930</x:f>
        <x:v>290.7</x:v>
      </x:c>
      <x:c r="N930" s="8" t="str">
        <x:v>Online</x:v>
      </x:c>
      <x:c r="O930" s="8" t="str">
        <x:v>Credit Card</x:v>
      </x:c>
      <x:c r="P930" s="8" t="str">
        <x:v>Shipped</x:v>
      </x:c>
    </x:row>
    <x:row r="931">
      <x:c r="A931" s="8" t="str">
        <x:v>ORD-2025930</x:v>
      </x:c>
      <x:c r="B931" s="9" t="n">
        <x:v>45826</x:v>
      </x:c>
      <x:c r="C931" s="8" t="str">
        <x:v>North</x:v>
      </x:c>
      <x:c r="D931" s="8" t="str">
        <x:v>Sophia Kim</x:v>
      </x:c>
      <x:c r="E931" s="8" t="str">
        <x:v>BrightPath Co</x:v>
      </x:c>
      <x:c r="F931" s="8" t="str">
        <x:v>Accessories</x:v>
      </x:c>
      <x:c r="G931" s="8" t="str">
        <x:v>Wireless Mouse</x:v>
      </x:c>
      <x:c r="H931" s="10" t="n">
        <x:v>25</x:v>
      </x:c>
      <x:c r="I931" s="11" t="n">
        <x:v>40</x:v>
      </x:c>
      <x:c r="J931" s="12" t="n">
        <x:v>0</x:v>
      </x:c>
      <x:c r="K931" s="11" t="n">
        <x:f>H931*I931*(1-J931)</x:f>
        <x:v>1000</x:v>
      </x:c>
      <x:c r="L931" s="11" t="n">
        <x:f>H931*(I931*0.62)</x:f>
        <x:v>620</x:v>
      </x:c>
      <x:c r="M931" s="11" t="n">
        <x:f>K931-L931</x:f>
        <x:v>380</x:v>
      </x:c>
      <x:c r="N931" s="8" t="str">
        <x:v>Direct</x:v>
      </x:c>
      <x:c r="O931" s="8" t="str">
        <x:v>Bank Transfer</x:v>
      </x:c>
      <x:c r="P931" s="8" t="str">
        <x:v>Closed Won</x:v>
      </x:c>
    </x:row>
    <x:row r="932">
      <x:c r="A932" s="8" t="str">
        <x:v>ORD-2025931</x:v>
      </x:c>
      <x:c r="B932" s="9" t="n">
        <x:v>45771</x:v>
      </x:c>
      <x:c r="C932" s="8" t="str">
        <x:v>West</x:v>
      </x:c>
      <x:c r="D932" s="8" t="str">
        <x:v>Liam Chen</x:v>
      </x:c>
      <x:c r="E932" s="8" t="str">
        <x:v>Pioneer Group</x:v>
      </x:c>
      <x:c r="F932" s="8" t="str">
        <x:v>Software</x:v>
      </x:c>
      <x:c r="G932" s="8" t="str">
        <x:v>ProjectFlow</x:v>
      </x:c>
      <x:c r="H932" s="10" t="n">
        <x:v>6</x:v>
      </x:c>
      <x:c r="I932" s="11" t="n">
        <x:v>700</x:v>
      </x:c>
      <x:c r="J932" s="12" t="n">
        <x:v>0.1</x:v>
      </x:c>
      <x:c r="K932" s="11" t="n">
        <x:f>H932*I932*(1-J932)</x:f>
        <x:v>3780</x:v>
      </x:c>
      <x:c r="L932" s="11" t="n">
        <x:f>H932*(I932*0.62)</x:f>
        <x:v>2604</x:v>
      </x:c>
      <x:c r="M932" s="11" t="n">
        <x:f>K932-L932</x:f>
        <x:v>1176</x:v>
      </x:c>
      <x:c r="N932" s="8" t="str">
        <x:v>Online</x:v>
      </x:c>
      <x:c r="O932" s="8" t="str">
        <x:v>Invoice</x:v>
      </x:c>
      <x:c r="P932" s="8" t="str">
        <x:v>Shipped</x:v>
      </x:c>
    </x:row>
    <x:row r="933">
      <x:c r="A933" s="8" t="str">
        <x:v>ORD-2025932</x:v>
      </x:c>
      <x:c r="B933" s="9" t="n">
        <x:v>45928</x:v>
      </x:c>
      <x:c r="C933" s="8" t="str">
        <x:v>East</x:v>
      </x:c>
      <x:c r="D933" s="8" t="str">
        <x:v>Emma Martin</x:v>
      </x:c>
      <x:c r="E933" s="8" t="str">
        <x:v>Vertex LLC</x:v>
      </x:c>
      <x:c r="F933" s="8" t="str">
        <x:v>Accessories</x:v>
      </x:c>
      <x:c r="G933" s="8" t="str">
        <x:v>Wireless Mouse</x:v>
      </x:c>
      <x:c r="H933" s="10" t="n">
        <x:v>18</x:v>
      </x:c>
      <x:c r="I933" s="11" t="n">
        <x:v>40</x:v>
      </x:c>
      <x:c r="J933" s="12" t="n">
        <x:v>0</x:v>
      </x:c>
      <x:c r="K933" s="11" t="n">
        <x:f>H933*I933*(1-J933)</x:f>
        <x:v>720</x:v>
      </x:c>
      <x:c r="L933" s="11" t="n">
        <x:f>H933*(I933*0.62)</x:f>
        <x:v>446.40000000000003</x:v>
      </x:c>
      <x:c r="M933" s="11" t="n">
        <x:f>K933-L933</x:f>
        <x:v>273.59999999999997</x:v>
      </x:c>
      <x:c r="N933" s="8" t="str">
        <x:v>Online</x:v>
      </x:c>
      <x:c r="O933" s="8" t="str">
        <x:v>Credit Card</x:v>
      </x:c>
      <x:c r="P933" s="8" t="str">
        <x:v>Cancelled</x:v>
      </x:c>
    </x:row>
    <x:row r="934">
      <x:c r="A934" s="8" t="str">
        <x:v>ORD-2025933</x:v>
      </x:c>
      <x:c r="B934" s="9" t="n">
        <x:v>45857</x:v>
      </x:c>
      <x:c r="C934" s="8" t="str">
        <x:v>South</x:v>
      </x:c>
      <x:c r="D934" s="8" t="str">
        <x:v>Sophia Kim</x:v>
      </x:c>
      <x:c r="E934" s="8" t="str">
        <x:v>Maple LLC</x:v>
      </x:c>
      <x:c r="F934" s="8" t="str">
        <x:v>Hardware</x:v>
      </x:c>
      <x:c r="G934" s="8" t="str">
        <x:v>Dock Station</x:v>
      </x:c>
      <x:c r="H934" s="10" t="n">
        <x:v>18</x:v>
      </x:c>
      <x:c r="I934" s="11" t="n">
        <x:v>180</x:v>
      </x:c>
      <x:c r="J934" s="12" t="n">
        <x:v>0.1</x:v>
      </x:c>
      <x:c r="K934" s="11" t="n">
        <x:f>H934*I934*(1-J934)</x:f>
        <x:v>2916</x:v>
      </x:c>
      <x:c r="L934" s="11" t="n">
        <x:f>H934*(I934*0.62)</x:f>
        <x:v>2008.8</x:v>
      </x:c>
      <x:c r="M934" s="11" t="n">
        <x:f>K934-L934</x:f>
        <x:v>907.2</x:v>
      </x:c>
      <x:c r="N934" s="8" t="str">
        <x:v>Partner</x:v>
      </x:c>
      <x:c r="O934" s="8" t="str">
        <x:v>PayPal</x:v>
      </x:c>
      <x:c r="P934" s="8" t="str">
        <x:v>Shipped</x:v>
      </x:c>
    </x:row>
    <x:row r="935">
      <x:c r="A935" s="8" t="str">
        <x:v>ORD-2025934</x:v>
      </x:c>
      <x:c r="B935" s="9" t="n">
        <x:v>46009</x:v>
      </x:c>
      <x:c r="C935" s="8" t="str">
        <x:v>Central</x:v>
      </x:c>
      <x:c r="D935" s="8" t="str">
        <x:v>Noah Davis</x:v>
      </x:c>
      <x:c r="E935" s="8" t="str">
        <x:v>Urban LLC</x:v>
      </x:c>
      <x:c r="F935" s="8" t="str">
        <x:v>Services</x:v>
      </x:c>
      <x:c r="G935" s="8" t="str">
        <x:v>Implementation</x:v>
      </x:c>
      <x:c r="H935" s="10" t="n">
        <x:v>5</x:v>
      </x:c>
      <x:c r="I935" s="11" t="n">
        <x:v>2500</x:v>
      </x:c>
      <x:c r="J935" s="12" t="n">
        <x:v>0.05</x:v>
      </x:c>
      <x:c r="K935" s="11" t="n">
        <x:f>H935*I935*(1-J935)</x:f>
        <x:v>11875</x:v>
      </x:c>
      <x:c r="L935" s="11" t="n">
        <x:f>H935*(I935*0.62)</x:f>
        <x:v>7750</x:v>
      </x:c>
      <x:c r="M935" s="11" t="n">
        <x:f>K935-L935</x:f>
        <x:v>4125</x:v>
      </x:c>
      <x:c r="N935" s="8" t="str">
        <x:v>Online</x:v>
      </x:c>
      <x:c r="O935" s="8" t="str">
        <x:v>Invoice</x:v>
      </x:c>
      <x:c r="P935" s="8" t="str">
        <x:v>Closed Won</x:v>
      </x:c>
    </x:row>
    <x:row r="936">
      <x:c r="A936" s="8" t="str">
        <x:v>ORD-2025935</x:v>
      </x:c>
      <x:c r="B936" s="9" t="n">
        <x:v>46005</x:v>
      </x:c>
      <x:c r="C936" s="8" t="str">
        <x:v>Central</x:v>
      </x:c>
      <x:c r="D936" s="8" t="str">
        <x:v>Lucas Brown</x:v>
      </x:c>
      <x:c r="E936" s="8" t="str">
        <x:v>GoldenGate Co</x:v>
      </x:c>
      <x:c r="F936" s="8" t="str">
        <x:v>Services</x:v>
      </x:c>
      <x:c r="G936" s="8" t="str">
        <x:v>Training</x:v>
      </x:c>
      <x:c r="H936" s="10" t="n">
        <x:v>6</x:v>
      </x:c>
      <x:c r="I936" s="11" t="n">
        <x:v>900</x:v>
      </x:c>
      <x:c r="J936" s="12" t="n">
        <x:v>0.05</x:v>
      </x:c>
      <x:c r="K936" s="11" t="n">
        <x:f>H936*I936*(1-J936)</x:f>
        <x:v>5130</x:v>
      </x:c>
      <x:c r="L936" s="11" t="n">
        <x:f>H936*(I936*0.62)</x:f>
        <x:v>3348</x:v>
      </x:c>
      <x:c r="M936" s="11" t="n">
        <x:f>K936-L936</x:f>
        <x:v>1782</x:v>
      </x:c>
      <x:c r="N936" s="8" t="str">
        <x:v>Partner</x:v>
      </x:c>
      <x:c r="O936" s="8" t="str">
        <x:v>PayPal</x:v>
      </x:c>
      <x:c r="P936" s="8" t="str">
        <x:v>Pending</x:v>
      </x:c>
    </x:row>
    <x:row r="937">
      <x:c r="A937" s="8" t="str">
        <x:v>ORD-2025936</x:v>
      </x:c>
      <x:c r="B937" s="9" t="n">
        <x:v>45924</x:v>
      </x:c>
      <x:c r="C937" s="8" t="str">
        <x:v>South</x:v>
      </x:c>
      <x:c r="D937" s="8" t="str">
        <x:v>Ethan Garcia</x:v>
      </x:c>
      <x:c r="E937" s="8" t="str">
        <x:v>BlueSky Group</x:v>
      </x:c>
      <x:c r="F937" s="8" t="str">
        <x:v>Services</x:v>
      </x:c>
      <x:c r="G937" s="8" t="str">
        <x:v>Consulting Day</x:v>
      </x:c>
      <x:c r="H937" s="10" t="n">
        <x:v>10</x:v>
      </x:c>
      <x:c r="I937" s="11" t="n">
        <x:v>1400</x:v>
      </x:c>
      <x:c r="J937" s="12" t="n">
        <x:v>0.05</x:v>
      </x:c>
      <x:c r="K937" s="11" t="n">
        <x:f>H937*I937*(1-J937)</x:f>
        <x:v>13300</x:v>
      </x:c>
      <x:c r="L937" s="11" t="n">
        <x:f>H937*(I937*0.62)</x:f>
        <x:v>8680</x:v>
      </x:c>
      <x:c r="M937" s="11" t="n">
        <x:f>K937-L937</x:f>
        <x:v>4620</x:v>
      </x:c>
      <x:c r="N937" s="8" t="str">
        <x:v>Partner</x:v>
      </x:c>
      <x:c r="O937" s="8" t="str">
        <x:v>Credit Card</x:v>
      </x:c>
      <x:c r="P937" s="8" t="str">
        <x:v>Shipped</x:v>
      </x:c>
    </x:row>
    <x:row r="938">
      <x:c r="A938" s="8" t="str">
        <x:v>ORD-2025937</x:v>
      </x:c>
      <x:c r="B938" s="9" t="n">
        <x:v>45705</x:v>
      </x:c>
      <x:c r="C938" s="8" t="str">
        <x:v>South</x:v>
      </x:c>
      <x:c r="D938" s="8" t="str">
        <x:v>Emma Martin</x:v>
      </x:c>
      <x:c r="E938" s="8" t="str">
        <x:v>Summit Group</x:v>
      </x:c>
      <x:c r="F938" s="8" t="str">
        <x:v>Software</x:v>
      </x:c>
      <x:c r="G938" s="8" t="str">
        <x:v>Analytics Cloud</x:v>
      </x:c>
      <x:c r="H938" s="10" t="n">
        <x:v>3</x:v>
      </x:c>
      <x:c r="I938" s="11" t="n">
        <x:v>1800</x:v>
      </x:c>
      <x:c r="J938" s="12" t="n">
        <x:v>0.15</x:v>
      </x:c>
      <x:c r="K938" s="11" t="n">
        <x:f>H938*I938*(1-J938)</x:f>
        <x:v>4590</x:v>
      </x:c>
      <x:c r="L938" s="11" t="n">
        <x:f>H938*(I938*0.62)</x:f>
        <x:v>3348</x:v>
      </x:c>
      <x:c r="M938" s="11" t="n">
        <x:f>K938-L938</x:f>
        <x:v>1242</x:v>
      </x:c>
      <x:c r="N938" s="8" t="str">
        <x:v>Partner</x:v>
      </x:c>
      <x:c r="O938" s="8" t="str">
        <x:v>PayPal</x:v>
      </x:c>
      <x:c r="P938" s="8" t="str">
        <x:v>Returned</x:v>
      </x:c>
    </x:row>
    <x:row r="939">
      <x:c r="A939" s="8" t="str">
        <x:v>ORD-2025938</x:v>
      </x:c>
      <x:c r="B939" s="9" t="n">
        <x:v>46004</x:v>
      </x:c>
      <x:c r="C939" s="8" t="str">
        <x:v>Central</x:v>
      </x:c>
      <x:c r="D939" s="8" t="str">
        <x:v>Noah Davis</x:v>
      </x:c>
      <x:c r="E939" s="8" t="str">
        <x:v>NorthStar Inc</x:v>
      </x:c>
      <x:c r="F939" s="8" t="str">
        <x:v>Software</x:v>
      </x:c>
      <x:c r="G939" s="8" t="str">
        <x:v>ProjectFlow</x:v>
      </x:c>
      <x:c r="H939" s="10" t="n">
        <x:v>16</x:v>
      </x:c>
      <x:c r="I939" s="11" t="n">
        <x:v>700</x:v>
      </x:c>
      <x:c r="J939" s="12" t="n">
        <x:v>0.1</x:v>
      </x:c>
      <x:c r="K939" s="11" t="n">
        <x:f>H939*I939*(1-J939)</x:f>
        <x:v>10080</x:v>
      </x:c>
      <x:c r="L939" s="11" t="n">
        <x:f>H939*(I939*0.62)</x:f>
        <x:v>6944</x:v>
      </x:c>
      <x:c r="M939" s="11" t="n">
        <x:f>K939-L939</x:f>
        <x:v>3136</x:v>
      </x:c>
      <x:c r="N939" s="8" t="str">
        <x:v>Online</x:v>
      </x:c>
      <x:c r="O939" s="8" t="str">
        <x:v>Credit Card</x:v>
      </x:c>
      <x:c r="P939" s="8" t="str">
        <x:v>Closed Won</x:v>
      </x:c>
    </x:row>
    <x:row r="940">
      <x:c r="A940" s="8" t="str">
        <x:v>ORD-2025939</x:v>
      </x:c>
      <x:c r="B940" s="9" t="n">
        <x:v>45875</x:v>
      </x:c>
      <x:c r="C940" s="8" t="str">
        <x:v>Central</x:v>
      </x:c>
      <x:c r="D940" s="8" t="str">
        <x:v>Sophia Kim</x:v>
      </x:c>
      <x:c r="E940" s="8" t="str">
        <x:v>Cedar Group</x:v>
      </x:c>
      <x:c r="F940" s="8" t="str">
        <x:v>Hardware</x:v>
      </x:c>
      <x:c r="G940" s="8" t="str">
        <x:v>Laptop X</x:v>
      </x:c>
      <x:c r="H940" s="10" t="n">
        <x:v>24</x:v>
      </x:c>
      <x:c r="I940" s="11" t="n">
        <x:v>1500</x:v>
      </x:c>
      <x:c r="J940" s="12" t="n">
        <x:v>0.15</x:v>
      </x:c>
      <x:c r="K940" s="11" t="n">
        <x:f>H940*I940*(1-J940)</x:f>
        <x:v>30600</x:v>
      </x:c>
      <x:c r="L940" s="11" t="n">
        <x:f>H940*(I940*0.62)</x:f>
        <x:v>22320</x:v>
      </x:c>
      <x:c r="M940" s="11" t="n">
        <x:f>K940-L940</x:f>
        <x:v>8280</x:v>
      </x:c>
      <x:c r="N940" s="8" t="str">
        <x:v>Online</x:v>
      </x:c>
      <x:c r="O940" s="8" t="str">
        <x:v>Credit Card</x:v>
      </x:c>
      <x:c r="P940" s="8" t="str">
        <x:v>Shipped</x:v>
      </x:c>
    </x:row>
    <x:row r="941">
      <x:c r="A941" s="8" t="str">
        <x:v>ORD-2025940</x:v>
      </x:c>
      <x:c r="B941" s="9" t="n">
        <x:v>45747</x:v>
      </x:c>
      <x:c r="C941" s="8" t="str">
        <x:v>North</x:v>
      </x:c>
      <x:c r="D941" s="8" t="str">
        <x:v>Sophia Kim</x:v>
      </x:c>
      <x:c r="E941" s="8" t="str">
        <x:v>Urban Inc</x:v>
      </x:c>
      <x:c r="F941" s="8" t="str">
        <x:v>Hardware</x:v>
      </x:c>
      <x:c r="G941" s="8" t="str">
        <x:v>Tablet Air</x:v>
      </x:c>
      <x:c r="H941" s="10" t="n">
        <x:v>17</x:v>
      </x:c>
      <x:c r="I941" s="11" t="n">
        <x:v>820</x:v>
      </x:c>
      <x:c r="J941" s="12" t="n">
        <x:v>0</x:v>
      </x:c>
      <x:c r="K941" s="11" t="n">
        <x:f>H941*I941*(1-J941)</x:f>
        <x:v>13940</x:v>
      </x:c>
      <x:c r="L941" s="11" t="n">
        <x:f>H941*(I941*0.62)</x:f>
        <x:v>8642.8</x:v>
      </x:c>
      <x:c r="M941" s="11" t="n">
        <x:f>K941-L941</x:f>
        <x:v>5297.200000000001</x:v>
      </x:c>
      <x:c r="N941" s="8" t="str">
        <x:v>Direct</x:v>
      </x:c>
      <x:c r="O941" s="8" t="str">
        <x:v>PayPal</x:v>
      </x:c>
      <x:c r="P941" s="8" t="str">
        <x:v>Pending</x:v>
      </x:c>
    </x:row>
    <x:row r="942">
      <x:c r="A942" s="8" t="str">
        <x:v>ORD-2025941</x:v>
      </x:c>
      <x:c r="B942" s="9" t="n">
        <x:v>45715</x:v>
      </x:c>
      <x:c r="C942" s="8" t="str">
        <x:v>East</x:v>
      </x:c>
      <x:c r="D942" s="8" t="str">
        <x:v>Mia Johnson</x:v>
      </x:c>
      <x:c r="E942" s="8" t="str">
        <x:v>Maple Inc</x:v>
      </x:c>
      <x:c r="F942" s="8" t="str">
        <x:v>Hardware</x:v>
      </x:c>
      <x:c r="G942" s="8" t="str">
        <x:v>Dock Station</x:v>
      </x:c>
      <x:c r="H942" s="10" t="n">
        <x:v>25</x:v>
      </x:c>
      <x:c r="I942" s="11" t="n">
        <x:v>180</x:v>
      </x:c>
      <x:c r="J942" s="12" t="n">
        <x:v>0.2</x:v>
      </x:c>
      <x:c r="K942" s="11" t="n">
        <x:f>H942*I942*(1-J942)</x:f>
        <x:v>3600</x:v>
      </x:c>
      <x:c r="L942" s="11" t="n">
        <x:f>H942*(I942*0.62)</x:f>
        <x:v>2790</x:v>
      </x:c>
      <x:c r="M942" s="11" t="n">
        <x:f>K942-L942</x:f>
        <x:v>810</x:v>
      </x:c>
      <x:c r="N942" s="8" t="str">
        <x:v>Direct</x:v>
      </x:c>
      <x:c r="O942" s="8" t="str">
        <x:v>Invoice</x:v>
      </x:c>
      <x:c r="P942" s="8" t="str">
        <x:v>Closed Won</x:v>
      </x:c>
    </x:row>
    <x:row r="943">
      <x:c r="A943" s="8" t="str">
        <x:v>ORD-2025942</x:v>
      </x:c>
      <x:c r="B943" s="9" t="n">
        <x:v>45767</x:v>
      </x:c>
      <x:c r="C943" s="8" t="str">
        <x:v>North</x:v>
      </x:c>
      <x:c r="D943" s="8" t="str">
        <x:v>Emma Martin</x:v>
      </x:c>
      <x:c r="E943" s="8" t="str">
        <x:v>SilverLine Co</x:v>
      </x:c>
      <x:c r="F943" s="8" t="str">
        <x:v>Services</x:v>
      </x:c>
      <x:c r="G943" s="8" t="str">
        <x:v>Support Plus</x:v>
      </x:c>
      <x:c r="H943" s="10" t="n">
        <x:v>7</x:v>
      </x:c>
      <x:c r="I943" s="11" t="n">
        <x:v>650</x:v>
      </x:c>
      <x:c r="J943" s="12" t="n">
        <x:v>0</x:v>
      </x:c>
      <x:c r="K943" s="11" t="n">
        <x:f>H943*I943*(1-J943)</x:f>
        <x:v>4550</x:v>
      </x:c>
      <x:c r="L943" s="11" t="n">
        <x:f>H943*(I943*0.62)</x:f>
        <x:v>2821</x:v>
      </x:c>
      <x:c r="M943" s="11" t="n">
        <x:f>K943-L943</x:f>
        <x:v>1729</x:v>
      </x:c>
      <x:c r="N943" s="8" t="str">
        <x:v>Online</x:v>
      </x:c>
      <x:c r="O943" s="8" t="str">
        <x:v>Credit Card</x:v>
      </x:c>
      <x:c r="P943" s="8" t="str">
        <x:v>Cancelled</x:v>
      </x:c>
    </x:row>
    <x:row r="944">
      <x:c r="A944" s="8" t="str">
        <x:v>ORD-2025943</x:v>
      </x:c>
      <x:c r="B944" s="9" t="n">
        <x:v>45840</x:v>
      </x:c>
      <x:c r="C944" s="8" t="str">
        <x:v>North</x:v>
      </x:c>
      <x:c r="D944" s="8" t="str">
        <x:v>Emma Martin</x:v>
      </x:c>
      <x:c r="E944" s="8" t="str">
        <x:v>GoldenGate Co</x:v>
      </x:c>
      <x:c r="F944" s="8" t="str">
        <x:v>Accessories</x:v>
      </x:c>
      <x:c r="G944" s="8" t="str">
        <x:v>Wireless Mouse</x:v>
      </x:c>
      <x:c r="H944" s="10" t="n">
        <x:v>11</x:v>
      </x:c>
      <x:c r="I944" s="11" t="n">
        <x:v>40</x:v>
      </x:c>
      <x:c r="J944" s="12" t="n">
        <x:v>0</x:v>
      </x:c>
      <x:c r="K944" s="11" t="n">
        <x:f>H944*I944*(1-J944)</x:f>
        <x:v>440</x:v>
      </x:c>
      <x:c r="L944" s="11" t="n">
        <x:f>H944*(I944*0.62)</x:f>
        <x:v>272.8</x:v>
      </x:c>
      <x:c r="M944" s="11" t="n">
        <x:f>K944-L944</x:f>
        <x:v>167.2</x:v>
      </x:c>
      <x:c r="N944" s="8" t="str">
        <x:v>Partner</x:v>
      </x:c>
      <x:c r="O944" s="8" t="str">
        <x:v>Credit Card</x:v>
      </x:c>
      <x:c r="P944" s="8" t="str">
        <x:v>Closed Won</x:v>
      </x:c>
    </x:row>
    <x:row r="945">
      <x:c r="A945" s="8" t="str">
        <x:v>ORD-2025944</x:v>
      </x:c>
      <x:c r="B945" s="9" t="n">
        <x:v>45839</x:v>
      </x:c>
      <x:c r="C945" s="8" t="str">
        <x:v>North</x:v>
      </x:c>
      <x:c r="D945" s="8" t="str">
        <x:v>Liam Chen</x:v>
      </x:c>
      <x:c r="E945" s="8" t="str">
        <x:v>RedStone Group</x:v>
      </x:c>
      <x:c r="F945" s="8" t="str">
        <x:v>Hardware</x:v>
      </x:c>
      <x:c r="G945" s="8" t="str">
        <x:v>Monitor 27</x:v>
      </x:c>
      <x:c r="H945" s="10" t="n">
        <x:v>16</x:v>
      </x:c>
      <x:c r="I945" s="11" t="n">
        <x:v>320</x:v>
      </x:c>
      <x:c r="J945" s="12" t="n">
        <x:v>0</x:v>
      </x:c>
      <x:c r="K945" s="11" t="n">
        <x:f>H945*I945*(1-J945)</x:f>
        <x:v>5120</x:v>
      </x:c>
      <x:c r="L945" s="11" t="n">
        <x:f>H945*(I945*0.62)</x:f>
        <x:v>3174.4</x:v>
      </x:c>
      <x:c r="M945" s="11" t="n">
        <x:f>K945-L945</x:f>
        <x:v>1945.6</x:v>
      </x:c>
      <x:c r="N945" s="8" t="str">
        <x:v>Direct</x:v>
      </x:c>
      <x:c r="O945" s="8" t="str">
        <x:v>Bank Transfer</x:v>
      </x:c>
      <x:c r="P945" s="8" t="str">
        <x:v>Closed Won</x:v>
      </x:c>
    </x:row>
    <x:row r="946">
      <x:c r="A946" s="8" t="str">
        <x:v>ORD-2025945</x:v>
      </x:c>
      <x:c r="B946" s="9" t="n">
        <x:v>45737</x:v>
      </x:c>
      <x:c r="C946" s="8" t="str">
        <x:v>East</x:v>
      </x:c>
      <x:c r="D946" s="8" t="str">
        <x:v>Mia Johnson</x:v>
      </x:c>
      <x:c r="E946" s="8" t="str">
        <x:v>NorthStar LLC</x:v>
      </x:c>
      <x:c r="F946" s="8" t="str">
        <x:v>Accessories</x:v>
      </x:c>
      <x:c r="G946" s="8" t="str">
        <x:v>Wireless Mouse</x:v>
      </x:c>
      <x:c r="H946" s="10" t="n">
        <x:v>13</x:v>
      </x:c>
      <x:c r="I946" s="11" t="n">
        <x:v>40</x:v>
      </x:c>
      <x:c r="J946" s="12" t="n">
        <x:v>0</x:v>
      </x:c>
      <x:c r="K946" s="11" t="n">
        <x:f>H946*I946*(1-J946)</x:f>
        <x:v>520</x:v>
      </x:c>
      <x:c r="L946" s="11" t="n">
        <x:f>H946*(I946*0.62)</x:f>
        <x:v>322.40000000000003</x:v>
      </x:c>
      <x:c r="M946" s="11" t="n">
        <x:f>K946-L946</x:f>
        <x:v>197.59999999999997</x:v>
      </x:c>
      <x:c r="N946" s="8" t="str">
        <x:v>Partner</x:v>
      </x:c>
      <x:c r="O946" s="8" t="str">
        <x:v>Invoice</x:v>
      </x:c>
      <x:c r="P946" s="8" t="str">
        <x:v>Closed Won</x:v>
      </x:c>
    </x:row>
    <x:row r="947">
      <x:c r="A947" s="8" t="str">
        <x:v>ORD-2025946</x:v>
      </x:c>
      <x:c r="B947" s="9" t="n">
        <x:v>45713</x:v>
      </x:c>
      <x:c r="C947" s="8" t="str">
        <x:v>West</x:v>
      </x:c>
      <x:c r="D947" s="8" t="str">
        <x:v>Olivia Wilson</x:v>
      </x:c>
      <x:c r="E947" s="8" t="str">
        <x:v>GreenLeaf LLC</x:v>
      </x:c>
      <x:c r="F947" s="8" t="str">
        <x:v>Hardware</x:v>
      </x:c>
      <x:c r="G947" s="8" t="str">
        <x:v>Dock Station</x:v>
      </x:c>
      <x:c r="H947" s="10" t="n">
        <x:v>5</x:v>
      </x:c>
      <x:c r="I947" s="11" t="n">
        <x:v>180</x:v>
      </x:c>
      <x:c r="J947" s="12" t="n">
        <x:v>0</x:v>
      </x:c>
      <x:c r="K947" s="11" t="n">
        <x:f>H947*I947*(1-J947)</x:f>
        <x:v>900</x:v>
      </x:c>
      <x:c r="L947" s="11" t="n">
        <x:f>H947*(I947*0.62)</x:f>
        <x:v>558</x:v>
      </x:c>
      <x:c r="M947" s="11" t="n">
        <x:f>K947-L947</x:f>
        <x:v>342</x:v>
      </x:c>
      <x:c r="N947" s="8" t="str">
        <x:v>Online</x:v>
      </x:c>
      <x:c r="O947" s="8" t="str">
        <x:v>PayPal</x:v>
      </x:c>
      <x:c r="P947" s="8" t="str">
        <x:v>Closed Won</x:v>
      </x:c>
    </x:row>
    <x:row r="948">
      <x:c r="A948" s="8" t="str">
        <x:v>ORD-2025947</x:v>
      </x:c>
      <x:c r="B948" s="9" t="n">
        <x:v>45755</x:v>
      </x:c>
      <x:c r="C948" s="8" t="str">
        <x:v>East</x:v>
      </x:c>
      <x:c r="D948" s="8" t="str">
        <x:v>Ava Patel</x:v>
      </x:c>
      <x:c r="E948" s="8" t="str">
        <x:v>Urban Inc</x:v>
      </x:c>
      <x:c r="F948" s="8" t="str">
        <x:v>Hardware</x:v>
      </x:c>
      <x:c r="G948" s="8" t="str">
        <x:v>Laptop X</x:v>
      </x:c>
      <x:c r="H948" s="10" t="n">
        <x:v>13</x:v>
      </x:c>
      <x:c r="I948" s="11" t="n">
        <x:v>1500</x:v>
      </x:c>
      <x:c r="J948" s="12" t="n">
        <x:v>0.05</x:v>
      </x:c>
      <x:c r="K948" s="11" t="n">
        <x:f>H948*I948*(1-J948)</x:f>
        <x:v>18525</x:v>
      </x:c>
      <x:c r="L948" s="11" t="n">
        <x:f>H948*(I948*0.62)</x:f>
        <x:v>12090</x:v>
      </x:c>
      <x:c r="M948" s="11" t="n">
        <x:f>K948-L948</x:f>
        <x:v>6435</x:v>
      </x:c>
      <x:c r="N948" s="8" t="str">
        <x:v>Online</x:v>
      </x:c>
      <x:c r="O948" s="8" t="str">
        <x:v>Invoice</x:v>
      </x:c>
      <x:c r="P948" s="8" t="str">
        <x:v>Cancelled</x:v>
      </x:c>
    </x:row>
    <x:row r="949">
      <x:c r="A949" s="8" t="str">
        <x:v>ORD-2025948</x:v>
      </x:c>
      <x:c r="B949" s="9" t="n">
        <x:v>45903</x:v>
      </x:c>
      <x:c r="C949" s="8" t="str">
        <x:v>East</x:v>
      </x:c>
      <x:c r="D949" s="8" t="str">
        <x:v>Liam Chen</x:v>
      </x:c>
      <x:c r="E949" s="8" t="str">
        <x:v>RedStone Inc</x:v>
      </x:c>
      <x:c r="F949" s="8" t="str">
        <x:v>Hardware</x:v>
      </x:c>
      <x:c r="G949" s="8" t="str">
        <x:v>Tablet Air</x:v>
      </x:c>
      <x:c r="H949" s="10" t="n">
        <x:v>16</x:v>
      </x:c>
      <x:c r="I949" s="11" t="n">
        <x:v>820</x:v>
      </x:c>
      <x:c r="J949" s="12" t="n">
        <x:v>0.1</x:v>
      </x:c>
      <x:c r="K949" s="11" t="n">
        <x:f>H949*I949*(1-J949)</x:f>
        <x:v>11808</x:v>
      </x:c>
      <x:c r="L949" s="11" t="n">
        <x:f>H949*(I949*0.62)</x:f>
        <x:v>8134.4</x:v>
      </x:c>
      <x:c r="M949" s="11" t="n">
        <x:f>K949-L949</x:f>
        <x:v>3673.6000000000004</x:v>
      </x:c>
      <x:c r="N949" s="8" t="str">
        <x:v>Partner</x:v>
      </x:c>
      <x:c r="O949" s="8" t="str">
        <x:v>Bank Transfer</x:v>
      </x:c>
      <x:c r="P949" s="8" t="str">
        <x:v>Closed Won</x:v>
      </x:c>
    </x:row>
    <x:row r="950">
      <x:c r="A950" s="8" t="str">
        <x:v>ORD-2025949</x:v>
      </x:c>
      <x:c r="B950" s="9" t="n">
        <x:v>45725</x:v>
      </x:c>
      <x:c r="C950" s="8" t="str">
        <x:v>North</x:v>
      </x:c>
      <x:c r="D950" s="8" t="str">
        <x:v>Liam Chen</x:v>
      </x:c>
      <x:c r="E950" s="8" t="str">
        <x:v>Acme Co</x:v>
      </x:c>
      <x:c r="F950" s="8" t="str">
        <x:v>Accessories</x:v>
      </x:c>
      <x:c r="G950" s="8" t="str">
        <x:v>Headset</x:v>
      </x:c>
      <x:c r="H950" s="10" t="n">
        <x:v>5</x:v>
      </x:c>
      <x:c r="I950" s="11" t="n">
        <x:v>85</x:v>
      </x:c>
      <x:c r="J950" s="12" t="n">
        <x:v>0</x:v>
      </x:c>
      <x:c r="K950" s="11" t="n">
        <x:f>H950*I950*(1-J950)</x:f>
        <x:v>425</x:v>
      </x:c>
      <x:c r="L950" s="11" t="n">
        <x:f>H950*(I950*0.62)</x:f>
        <x:v>263.5</x:v>
      </x:c>
      <x:c r="M950" s="11" t="n">
        <x:f>K950-L950</x:f>
        <x:v>161.5</x:v>
      </x:c>
      <x:c r="N950" s="8" t="str">
        <x:v>Partner</x:v>
      </x:c>
      <x:c r="O950" s="8" t="str">
        <x:v>Credit Card</x:v>
      </x:c>
      <x:c r="P950" s="8" t="str">
        <x:v>Shipped</x:v>
      </x:c>
    </x:row>
    <x:row r="951">
      <x:c r="A951" s="8" t="str">
        <x:v>ORD-2025950</x:v>
      </x:c>
      <x:c r="B951" s="9" t="n">
        <x:v>46005</x:v>
      </x:c>
      <x:c r="C951" s="8" t="str">
        <x:v>East</x:v>
      </x:c>
      <x:c r="D951" s="8" t="str">
        <x:v>Lucas Brown</x:v>
      </x:c>
      <x:c r="E951" s="8" t="str">
        <x:v>Nova LLC</x:v>
      </x:c>
      <x:c r="F951" s="8" t="str">
        <x:v>Hardware</x:v>
      </x:c>
      <x:c r="G951" s="8" t="str">
        <x:v>Laptop X</x:v>
      </x:c>
      <x:c r="H951" s="10" t="n">
        <x:v>24</x:v>
      </x:c>
      <x:c r="I951" s="11" t="n">
        <x:v>1500</x:v>
      </x:c>
      <x:c r="J951" s="12" t="n">
        <x:v>0</x:v>
      </x:c>
      <x:c r="K951" s="11" t="n">
        <x:f>H951*I951*(1-J951)</x:f>
        <x:v>36000</x:v>
      </x:c>
      <x:c r="L951" s="11" t="n">
        <x:f>H951*(I951*0.62)</x:f>
        <x:v>22320</x:v>
      </x:c>
      <x:c r="M951" s="11" t="n">
        <x:f>K951-L951</x:f>
        <x:v>13680</x:v>
      </x:c>
      <x:c r="N951" s="8" t="str">
        <x:v>Partner</x:v>
      </x:c>
      <x:c r="O951" s="8" t="str">
        <x:v>PayPal</x:v>
      </x:c>
      <x:c r="P951" s="8" t="str">
        <x:v>Closed Won</x:v>
      </x:c>
    </x:row>
    <x:row r="952">
      <x:c r="A952" s="8" t="str">
        <x:v>ORD-2025951</x:v>
      </x:c>
      <x:c r="B952" s="9" t="n">
        <x:v>45877</x:v>
      </x:c>
      <x:c r="C952" s="8" t="str">
        <x:v>South</x:v>
      </x:c>
      <x:c r="D952" s="8" t="str">
        <x:v>Emma Martin</x:v>
      </x:c>
      <x:c r="E952" s="8" t="str">
        <x:v>Urban Group</x:v>
      </x:c>
      <x:c r="F952" s="8" t="str">
        <x:v>Accessories</x:v>
      </x:c>
      <x:c r="G952" s="8" t="str">
        <x:v>Wireless Mouse</x:v>
      </x:c>
      <x:c r="H952" s="10" t="n">
        <x:v>24</x:v>
      </x:c>
      <x:c r="I952" s="11" t="n">
        <x:v>40</x:v>
      </x:c>
      <x:c r="J952" s="12" t="n">
        <x:v>0.1</x:v>
      </x:c>
      <x:c r="K952" s="11" t="n">
        <x:f>H952*I952*(1-J952)</x:f>
        <x:v>864</x:v>
      </x:c>
      <x:c r="L952" s="11" t="n">
        <x:f>H952*(I952*0.62)</x:f>
        <x:v>595.2</x:v>
      </x:c>
      <x:c r="M952" s="11" t="n">
        <x:f>K952-L952</x:f>
        <x:v>268.79999999999995</x:v>
      </x:c>
      <x:c r="N952" s="8" t="str">
        <x:v>Direct</x:v>
      </x:c>
      <x:c r="O952" s="8" t="str">
        <x:v>Bank Transfer</x:v>
      </x:c>
      <x:c r="P952" s="8" t="str">
        <x:v>Closed Won</x:v>
      </x:c>
    </x:row>
    <x:row r="953">
      <x:c r="A953" s="8" t="str">
        <x:v>ORD-2025952</x:v>
      </x:c>
      <x:c r="B953" s="9" t="n">
        <x:v>46016</x:v>
      </x:c>
      <x:c r="C953" s="8" t="str">
        <x:v>South</x:v>
      </x:c>
      <x:c r="D953" s="8" t="str">
        <x:v>Lucas Brown</x:v>
      </x:c>
      <x:c r="E953" s="8" t="str">
        <x:v>Nexus Inc</x:v>
      </x:c>
      <x:c r="F953" s="8" t="str">
        <x:v>Software</x:v>
      </x:c>
      <x:c r="G953" s="8" t="str">
        <x:v>HR Suite</x:v>
      </x:c>
      <x:c r="H953" s="10" t="n">
        <x:v>16</x:v>
      </x:c>
      <x:c r="I953" s="11" t="n">
        <x:v>950</x:v>
      </x:c>
      <x:c r="J953" s="12" t="n">
        <x:v>0.15</x:v>
      </x:c>
      <x:c r="K953" s="11" t="n">
        <x:f>H953*I953*(1-J953)</x:f>
        <x:v>12920</x:v>
      </x:c>
      <x:c r="L953" s="11" t="n">
        <x:f>H953*(I953*0.62)</x:f>
        <x:v>9424</x:v>
      </x:c>
      <x:c r="M953" s="11" t="n">
        <x:f>K953-L953</x:f>
        <x:v>3496</x:v>
      </x:c>
      <x:c r="N953" s="8" t="str">
        <x:v>Direct</x:v>
      </x:c>
      <x:c r="O953" s="8" t="str">
        <x:v>Bank Transfer</x:v>
      </x:c>
      <x:c r="P953" s="8" t="str">
        <x:v>Closed Won</x:v>
      </x:c>
    </x:row>
    <x:row r="954">
      <x:c r="A954" s="8" t="str">
        <x:v>ORD-2025953</x:v>
      </x:c>
      <x:c r="B954" s="9" t="n">
        <x:v>45719</x:v>
      </x:c>
      <x:c r="C954" s="8" t="str">
        <x:v>South</x:v>
      </x:c>
      <x:c r="D954" s="8" t="str">
        <x:v>Lucas Brown</x:v>
      </x:c>
      <x:c r="E954" s="8" t="str">
        <x:v>Summit LLC</x:v>
      </x:c>
      <x:c r="F954" s="8" t="str">
        <x:v>Hardware</x:v>
      </x:c>
      <x:c r="G954" s="8" t="str">
        <x:v>Tablet Air</x:v>
      </x:c>
      <x:c r="H954" s="10" t="n">
        <x:v>9</x:v>
      </x:c>
      <x:c r="I954" s="11" t="n">
        <x:v>820</x:v>
      </x:c>
      <x:c r="J954" s="12" t="n">
        <x:v>0</x:v>
      </x:c>
      <x:c r="K954" s="11" t="n">
        <x:f>H954*I954*(1-J954)</x:f>
        <x:v>7380</x:v>
      </x:c>
      <x:c r="L954" s="11" t="n">
        <x:f>H954*(I954*0.62)</x:f>
        <x:v>4575.599999999999</x:v>
      </x:c>
      <x:c r="M954" s="11" t="n">
        <x:f>K954-L954</x:f>
        <x:v>2804.4000000000005</x:v>
      </x:c>
      <x:c r="N954" s="8" t="str">
        <x:v>Direct</x:v>
      </x:c>
      <x:c r="O954" s="8" t="str">
        <x:v>PayPal</x:v>
      </x:c>
      <x:c r="P954" s="8" t="str">
        <x:v>Closed Won</x:v>
      </x:c>
    </x:row>
    <x:row r="955">
      <x:c r="A955" s="8" t="str">
        <x:v>ORD-2025954</x:v>
      </x:c>
      <x:c r="B955" s="9" t="n">
        <x:v>45684</x:v>
      </x:c>
      <x:c r="C955" s="8" t="str">
        <x:v>West</x:v>
      </x:c>
      <x:c r="D955" s="8" t="str">
        <x:v>Lucas Brown</x:v>
      </x:c>
      <x:c r="E955" s="8" t="str">
        <x:v>Southridge Group</x:v>
      </x:c>
      <x:c r="F955" s="8" t="str">
        <x:v>Hardware</x:v>
      </x:c>
      <x:c r="G955" s="8" t="str">
        <x:v>Laptop X</x:v>
      </x:c>
      <x:c r="H955" s="10" t="n">
        <x:v>10</x:v>
      </x:c>
      <x:c r="I955" s="11" t="n">
        <x:v>1500</x:v>
      </x:c>
      <x:c r="J955" s="12" t="n">
        <x:v>0.15</x:v>
      </x:c>
      <x:c r="K955" s="11" t="n">
        <x:f>H955*I955*(1-J955)</x:f>
        <x:v>12750</x:v>
      </x:c>
      <x:c r="L955" s="11" t="n">
        <x:f>H955*(I955*0.62)</x:f>
        <x:v>9300</x:v>
      </x:c>
      <x:c r="M955" s="11" t="n">
        <x:f>K955-L955</x:f>
        <x:v>3450</x:v>
      </x:c>
      <x:c r="N955" s="8" t="str">
        <x:v>Online</x:v>
      </x:c>
      <x:c r="O955" s="8" t="str">
        <x:v>Bank Transfer</x:v>
      </x:c>
      <x:c r="P955" s="8" t="str">
        <x:v>Closed Won</x:v>
      </x:c>
    </x:row>
    <x:row r="956">
      <x:c r="A956" s="8" t="str">
        <x:v>ORD-2025955</x:v>
      </x:c>
      <x:c r="B956" s="9" t="n">
        <x:v>45689</x:v>
      </x:c>
      <x:c r="C956" s="8" t="str">
        <x:v>Central</x:v>
      </x:c>
      <x:c r="D956" s="8" t="str">
        <x:v>Lucas Brown</x:v>
      </x:c>
      <x:c r="E956" s="8" t="str">
        <x:v>Summit Co</x:v>
      </x:c>
      <x:c r="F956" s="8" t="str">
        <x:v>Accessories</x:v>
      </x:c>
      <x:c r="G956" s="8" t="str">
        <x:v>Headset</x:v>
      </x:c>
      <x:c r="H956" s="10" t="n">
        <x:v>10</x:v>
      </x:c>
      <x:c r="I956" s="11" t="n">
        <x:v>85</x:v>
      </x:c>
      <x:c r="J956" s="12" t="n">
        <x:v>0</x:v>
      </x:c>
      <x:c r="K956" s="11" t="n">
        <x:f>H956*I956*(1-J956)</x:f>
        <x:v>850</x:v>
      </x:c>
      <x:c r="L956" s="11" t="n">
        <x:f>H956*(I956*0.62)</x:f>
        <x:v>527</x:v>
      </x:c>
      <x:c r="M956" s="11" t="n">
        <x:f>K956-L956</x:f>
        <x:v>323</x:v>
      </x:c>
      <x:c r="N956" s="8" t="str">
        <x:v>Partner</x:v>
      </x:c>
      <x:c r="O956" s="8" t="str">
        <x:v>Invoice</x:v>
      </x:c>
      <x:c r="P956" s="8" t="str">
        <x:v>Closed Won</x:v>
      </x:c>
    </x:row>
    <x:row r="957">
      <x:c r="A957" s="8" t="str">
        <x:v>ORD-2025956</x:v>
      </x:c>
      <x:c r="B957" s="9" t="n">
        <x:v>45784</x:v>
      </x:c>
      <x:c r="C957" s="8" t="str">
        <x:v>East</x:v>
      </x:c>
      <x:c r="D957" s="8" t="str">
        <x:v>Ava Patel</x:v>
      </x:c>
      <x:c r="E957" s="8" t="str">
        <x:v>GreenLeaf Group</x:v>
      </x:c>
      <x:c r="F957" s="8" t="str">
        <x:v>Services</x:v>
      </x:c>
      <x:c r="G957" s="8" t="str">
        <x:v>Consulting Day</x:v>
      </x:c>
      <x:c r="H957" s="10" t="n">
        <x:v>2</x:v>
      </x:c>
      <x:c r="I957" s="11" t="n">
        <x:v>1400</x:v>
      </x:c>
      <x:c r="J957" s="12" t="n">
        <x:v>0</x:v>
      </x:c>
      <x:c r="K957" s="11" t="n">
        <x:f>H957*I957*(1-J957)</x:f>
        <x:v>2800</x:v>
      </x:c>
      <x:c r="L957" s="11" t="n">
        <x:f>H957*(I957*0.62)</x:f>
        <x:v>1736</x:v>
      </x:c>
      <x:c r="M957" s="11" t="n">
        <x:f>K957-L957</x:f>
        <x:v>1064</x:v>
      </x:c>
      <x:c r="N957" s="8" t="str">
        <x:v>Direct</x:v>
      </x:c>
      <x:c r="O957" s="8" t="str">
        <x:v>Invoice</x:v>
      </x:c>
      <x:c r="P957" s="8" t="str">
        <x:v>Closed Won</x:v>
      </x:c>
    </x:row>
    <x:row r="958">
      <x:c r="A958" s="8" t="str">
        <x:v>ORD-2025957</x:v>
      </x:c>
      <x:c r="B958" s="9" t="n">
        <x:v>45968</x:v>
      </x:c>
      <x:c r="C958" s="8" t="str">
        <x:v>North</x:v>
      </x:c>
      <x:c r="D958" s="8" t="str">
        <x:v>Lucas Brown</x:v>
      </x:c>
      <x:c r="E958" s="8" t="str">
        <x:v>GreenLeaf Group</x:v>
      </x:c>
      <x:c r="F958" s="8" t="str">
        <x:v>Accessories</x:v>
      </x:c>
      <x:c r="G958" s="8" t="str">
        <x:v>Webcam HD</x:v>
      </x:c>
      <x:c r="H958" s="10" t="n">
        <x:v>9</x:v>
      </x:c>
      <x:c r="I958" s="11" t="n">
        <x:v>110</x:v>
      </x:c>
      <x:c r="J958" s="12" t="n">
        <x:v>0.05</x:v>
      </x:c>
      <x:c r="K958" s="11" t="n">
        <x:f>H958*I958*(1-J958)</x:f>
        <x:v>940.5</x:v>
      </x:c>
      <x:c r="L958" s="11" t="n">
        <x:f>H958*(I958*0.62)</x:f>
        <x:v>613.8000000000001</x:v>
      </x:c>
      <x:c r="M958" s="11" t="n">
        <x:f>K958-L958</x:f>
        <x:v>326.69999999999993</x:v>
      </x:c>
      <x:c r="N958" s="8" t="str">
        <x:v>Partner</x:v>
      </x:c>
      <x:c r="O958" s="8" t="str">
        <x:v>Invoice</x:v>
      </x:c>
      <x:c r="P958" s="8" t="str">
        <x:v>Closed Won</x:v>
      </x:c>
    </x:row>
    <x:row r="959">
      <x:c r="A959" s="8" t="str">
        <x:v>ORD-2025958</x:v>
      </x:c>
      <x:c r="B959" s="9" t="n">
        <x:v>46007</x:v>
      </x:c>
      <x:c r="C959" s="8" t="str">
        <x:v>Central</x:v>
      </x:c>
      <x:c r="D959" s="8" t="str">
        <x:v>Noah Davis</x:v>
      </x:c>
      <x:c r="E959" s="8" t="str">
        <x:v>BrightPath Co</x:v>
      </x:c>
      <x:c r="F959" s="8" t="str">
        <x:v>Software</x:v>
      </x:c>
      <x:c r="G959" s="8" t="str">
        <x:v>CRM Pro</x:v>
      </x:c>
      <x:c r="H959" s="10" t="n">
        <x:v>12</x:v>
      </x:c>
      <x:c r="I959" s="11" t="n">
        <x:v>1200</x:v>
      </x:c>
      <x:c r="J959" s="12" t="n">
        <x:v>0.15</x:v>
      </x:c>
      <x:c r="K959" s="11" t="n">
        <x:f>H959*I959*(1-J959)</x:f>
        <x:v>12240</x:v>
      </x:c>
      <x:c r="L959" s="11" t="n">
        <x:f>H959*(I959*0.62)</x:f>
        <x:v>8928</x:v>
      </x:c>
      <x:c r="M959" s="11" t="n">
        <x:f>K959-L959</x:f>
        <x:v>3312</x:v>
      </x:c>
      <x:c r="N959" s="8" t="str">
        <x:v>Partner</x:v>
      </x:c>
      <x:c r="O959" s="8" t="str">
        <x:v>Invoice</x:v>
      </x:c>
      <x:c r="P959" s="8" t="str">
        <x:v>Closed Won</x:v>
      </x:c>
    </x:row>
    <x:row r="960">
      <x:c r="A960" s="8" t="str">
        <x:v>ORD-2025959</x:v>
      </x:c>
      <x:c r="B960" s="9" t="n">
        <x:v>45957</x:v>
      </x:c>
      <x:c r="C960" s="8" t="str">
        <x:v>West</x:v>
      </x:c>
      <x:c r="D960" s="8" t="str">
        <x:v>Liam Chen</x:v>
      </x:c>
      <x:c r="E960" s="8" t="str">
        <x:v>Pioneer Inc</x:v>
      </x:c>
      <x:c r="F960" s="8" t="str">
        <x:v>Services</x:v>
      </x:c>
      <x:c r="G960" s="8" t="str">
        <x:v>Training</x:v>
      </x:c>
      <x:c r="H960" s="10" t="n">
        <x:v>5</x:v>
      </x:c>
      <x:c r="I960" s="11" t="n">
        <x:v>900</x:v>
      </x:c>
      <x:c r="J960" s="12" t="n">
        <x:v>0.15</x:v>
      </x:c>
      <x:c r="K960" s="11" t="n">
        <x:f>H960*I960*(1-J960)</x:f>
        <x:v>3825</x:v>
      </x:c>
      <x:c r="L960" s="11" t="n">
        <x:f>H960*(I960*0.62)</x:f>
        <x:v>2790</x:v>
      </x:c>
      <x:c r="M960" s="11" t="n">
        <x:f>K960-L960</x:f>
        <x:v>1035</x:v>
      </x:c>
      <x:c r="N960" s="8" t="str">
        <x:v>Online</x:v>
      </x:c>
      <x:c r="O960" s="8" t="str">
        <x:v>Credit Card</x:v>
      </x:c>
      <x:c r="P960" s="8" t="str">
        <x:v>Closed Won</x:v>
      </x:c>
    </x:row>
    <x:row r="961">
      <x:c r="A961" s="8" t="str">
        <x:v>ORD-2025960</x:v>
      </x:c>
      <x:c r="B961" s="9" t="n">
        <x:v>46018</x:v>
      </x:c>
      <x:c r="C961" s="8" t="str">
        <x:v>West</x:v>
      </x:c>
      <x:c r="D961" s="8" t="str">
        <x:v>Liam Chen</x:v>
      </x:c>
      <x:c r="E961" s="8" t="str">
        <x:v>BlueSky Inc</x:v>
      </x:c>
      <x:c r="F961" s="8" t="str">
        <x:v>Hardware</x:v>
      </x:c>
      <x:c r="G961" s="8" t="str">
        <x:v>Tablet Air</x:v>
      </x:c>
      <x:c r="H961" s="10" t="n">
        <x:v>18</x:v>
      </x:c>
      <x:c r="I961" s="11" t="n">
        <x:v>820</x:v>
      </x:c>
      <x:c r="J961" s="12" t="n">
        <x:v>0.1</x:v>
      </x:c>
      <x:c r="K961" s="11" t="n">
        <x:f>H961*I961*(1-J961)</x:f>
        <x:v>13284</x:v>
      </x:c>
      <x:c r="L961" s="11" t="n">
        <x:f>H961*(I961*0.62)</x:f>
        <x:v>9151.199999999999</x:v>
      </x:c>
      <x:c r="M961" s="11" t="n">
        <x:f>K961-L961</x:f>
        <x:v>4132.800000000001</x:v>
      </x:c>
      <x:c r="N961" s="8" t="str">
        <x:v>Partner</x:v>
      </x:c>
      <x:c r="O961" s="8" t="str">
        <x:v>Invoice</x:v>
      </x:c>
      <x:c r="P961" s="8" t="str">
        <x:v>Shipped</x:v>
      </x:c>
    </x:row>
    <x:row r="962">
      <x:c r="A962" s="8" t="str">
        <x:v>ORD-2025961</x:v>
      </x:c>
      <x:c r="B962" s="9" t="n">
        <x:v>45680</x:v>
      </x:c>
      <x:c r="C962" s="8" t="str">
        <x:v>South</x:v>
      </x:c>
      <x:c r="D962" s="8" t="str">
        <x:v>Mia Johnson</x:v>
      </x:c>
      <x:c r="E962" s="8" t="str">
        <x:v>RedStone Inc</x:v>
      </x:c>
      <x:c r="F962" s="8" t="str">
        <x:v>Hardware</x:v>
      </x:c>
      <x:c r="G962" s="8" t="str">
        <x:v>Tablet Air</x:v>
      </x:c>
      <x:c r="H962" s="10" t="n">
        <x:v>18</x:v>
      </x:c>
      <x:c r="I962" s="11" t="n">
        <x:v>820</x:v>
      </x:c>
      <x:c r="J962" s="12" t="n">
        <x:v>0.15</x:v>
      </x:c>
      <x:c r="K962" s="11" t="n">
        <x:f>H962*I962*(1-J962)</x:f>
        <x:v>12546</x:v>
      </x:c>
      <x:c r="L962" s="11" t="n">
        <x:f>H962*(I962*0.62)</x:f>
        <x:v>9151.199999999999</x:v>
      </x:c>
      <x:c r="M962" s="11" t="n">
        <x:f>K962-L962</x:f>
        <x:v>3394.800000000001</x:v>
      </x:c>
      <x:c r="N962" s="8" t="str">
        <x:v>Partner</x:v>
      </x:c>
      <x:c r="O962" s="8" t="str">
        <x:v>Invoice</x:v>
      </x:c>
      <x:c r="P962" s="8" t="str">
        <x:v>Cancelled</x:v>
      </x:c>
    </x:row>
    <x:row r="963">
      <x:c r="A963" s="8" t="str">
        <x:v>ORD-2025962</x:v>
      </x:c>
      <x:c r="B963" s="9" t="n">
        <x:v>45881</x:v>
      </x:c>
      <x:c r="C963" s="8" t="str">
        <x:v>North</x:v>
      </x:c>
      <x:c r="D963" s="8" t="str">
        <x:v>Olivia Wilson</x:v>
      </x:c>
      <x:c r="E963" s="8" t="str">
        <x:v>RedStone Inc</x:v>
      </x:c>
      <x:c r="F963" s="8" t="str">
        <x:v>Accessories</x:v>
      </x:c>
      <x:c r="G963" s="8" t="str">
        <x:v>Wireless Mouse</x:v>
      </x:c>
      <x:c r="H963" s="10" t="n">
        <x:v>17</x:v>
      </x:c>
      <x:c r="I963" s="11" t="n">
        <x:v>40</x:v>
      </x:c>
      <x:c r="J963" s="12" t="n">
        <x:v>0.1</x:v>
      </x:c>
      <x:c r="K963" s="11" t="n">
        <x:f>H963*I963*(1-J963)</x:f>
        <x:v>612</x:v>
      </x:c>
      <x:c r="L963" s="11" t="n">
        <x:f>H963*(I963*0.62)</x:f>
        <x:v>421.6</x:v>
      </x:c>
      <x:c r="M963" s="11" t="n">
        <x:f>K963-L963</x:f>
        <x:v>190.39999999999998</x:v>
      </x:c>
      <x:c r="N963" s="8" t="str">
        <x:v>Direct</x:v>
      </x:c>
      <x:c r="O963" s="8" t="str">
        <x:v>Bank Transfer</x:v>
      </x:c>
      <x:c r="P963" s="8" t="str">
        <x:v>Shipped</x:v>
      </x:c>
    </x:row>
    <x:row r="964">
      <x:c r="A964" s="8" t="str">
        <x:v>ORD-2025963</x:v>
      </x:c>
      <x:c r="B964" s="9" t="n">
        <x:v>45681</x:v>
      </x:c>
      <x:c r="C964" s="8" t="str">
        <x:v>Central</x:v>
      </x:c>
      <x:c r="D964" s="8" t="str">
        <x:v>Ava Patel</x:v>
      </x:c>
      <x:c r="E964" s="8" t="str">
        <x:v>Nexus LLC</x:v>
      </x:c>
      <x:c r="F964" s="8" t="str">
        <x:v>Hardware</x:v>
      </x:c>
      <x:c r="G964" s="8" t="str">
        <x:v>Dock Station</x:v>
      </x:c>
      <x:c r="H964" s="10" t="n">
        <x:v>24</x:v>
      </x:c>
      <x:c r="I964" s="11" t="n">
        <x:v>180</x:v>
      </x:c>
      <x:c r="J964" s="12" t="n">
        <x:v>0.2</x:v>
      </x:c>
      <x:c r="K964" s="11" t="n">
        <x:f>H964*I964*(1-J964)</x:f>
        <x:v>3456</x:v>
      </x:c>
      <x:c r="L964" s="11" t="n">
        <x:f>H964*(I964*0.62)</x:f>
        <x:v>2678.3999999999996</x:v>
      </x:c>
      <x:c r="M964" s="11" t="n">
        <x:f>K964-L964</x:f>
        <x:v>777.6000000000004</x:v>
      </x:c>
      <x:c r="N964" s="8" t="str">
        <x:v>Partner</x:v>
      </x:c>
      <x:c r="O964" s="8" t="str">
        <x:v>PayPal</x:v>
      </x:c>
      <x:c r="P964" s="8" t="str">
        <x:v>Shipped</x:v>
      </x:c>
    </x:row>
    <x:row r="965">
      <x:c r="A965" s="8" t="str">
        <x:v>ORD-2025964</x:v>
      </x:c>
      <x:c r="B965" s="9" t="n">
        <x:v>45882</x:v>
      </x:c>
      <x:c r="C965" s="8" t="str">
        <x:v>Central</x:v>
      </x:c>
      <x:c r="D965" s="8" t="str">
        <x:v>Lucas Brown</x:v>
      </x:c>
      <x:c r="E965" s="8" t="str">
        <x:v>Maple Group</x:v>
      </x:c>
      <x:c r="F965" s="8" t="str">
        <x:v>Software</x:v>
      </x:c>
      <x:c r="G965" s="8" t="str">
        <x:v>Analytics Cloud</x:v>
      </x:c>
      <x:c r="H965" s="10" t="n">
        <x:v>25</x:v>
      </x:c>
      <x:c r="I965" s="11" t="n">
        <x:v>1800</x:v>
      </x:c>
      <x:c r="J965" s="12" t="n">
        <x:v>0.05</x:v>
      </x:c>
      <x:c r="K965" s="11" t="n">
        <x:f>H965*I965*(1-J965)</x:f>
        <x:v>42750</x:v>
      </x:c>
      <x:c r="L965" s="11" t="n">
        <x:f>H965*(I965*0.62)</x:f>
        <x:v>27900</x:v>
      </x:c>
      <x:c r="M965" s="11" t="n">
        <x:f>K965-L965</x:f>
        <x:v>14850</x:v>
      </x:c>
      <x:c r="N965" s="8" t="str">
        <x:v>Partner</x:v>
      </x:c>
      <x:c r="O965" s="8" t="str">
        <x:v>Invoice</x:v>
      </x:c>
      <x:c r="P965" s="8" t="str">
        <x:v>Closed Won</x:v>
      </x:c>
    </x:row>
    <x:row r="966">
      <x:c r="A966" s="8" t="str">
        <x:v>ORD-2025965</x:v>
      </x:c>
      <x:c r="B966" s="9" t="n">
        <x:v>45950</x:v>
      </x:c>
      <x:c r="C966" s="8" t="str">
        <x:v>South</x:v>
      </x:c>
      <x:c r="D966" s="8" t="str">
        <x:v>Emma Martin</x:v>
      </x:c>
      <x:c r="E966" s="8" t="str">
        <x:v>Acme Inc</x:v>
      </x:c>
      <x:c r="F966" s="8" t="str">
        <x:v>Software</x:v>
      </x:c>
      <x:c r="G966" s="8" t="str">
        <x:v>Analytics Cloud</x:v>
      </x:c>
      <x:c r="H966" s="10" t="n">
        <x:v>17</x:v>
      </x:c>
      <x:c r="I966" s="11" t="n">
        <x:v>1800</x:v>
      </x:c>
      <x:c r="J966" s="12" t="n">
        <x:v>0.05</x:v>
      </x:c>
      <x:c r="K966" s="11" t="n">
        <x:f>H966*I966*(1-J966)</x:f>
        <x:v>29070</x:v>
      </x:c>
      <x:c r="L966" s="11" t="n">
        <x:f>H966*(I966*0.62)</x:f>
        <x:v>18972</x:v>
      </x:c>
      <x:c r="M966" s="11" t="n">
        <x:f>K966-L966</x:f>
        <x:v>10098</x:v>
      </x:c>
      <x:c r="N966" s="8" t="str">
        <x:v>Online</x:v>
      </x:c>
      <x:c r="O966" s="8" t="str">
        <x:v>Invoice</x:v>
      </x:c>
      <x:c r="P966" s="8" t="str">
        <x:v>Closed Won</x:v>
      </x:c>
    </x:row>
    <x:row r="967">
      <x:c r="A967" s="8" t="str">
        <x:v>ORD-2025966</x:v>
      </x:c>
      <x:c r="B967" s="9" t="n">
        <x:v>46020</x:v>
      </x:c>
      <x:c r="C967" s="8" t="str">
        <x:v>East</x:v>
      </x:c>
      <x:c r="D967" s="8" t="str">
        <x:v>Mason Lee</x:v>
      </x:c>
      <x:c r="E967" s="8" t="str">
        <x:v>Pioneer Group</x:v>
      </x:c>
      <x:c r="F967" s="8" t="str">
        <x:v>Hardware</x:v>
      </x:c>
      <x:c r="G967" s="8" t="str">
        <x:v>Dock Station</x:v>
      </x:c>
      <x:c r="H967" s="10" t="n">
        <x:v>6</x:v>
      </x:c>
      <x:c r="I967" s="11" t="n">
        <x:v>180</x:v>
      </x:c>
      <x:c r="J967" s="12" t="n">
        <x:v>0</x:v>
      </x:c>
      <x:c r="K967" s="11" t="n">
        <x:f>H967*I967*(1-J967)</x:f>
        <x:v>1080</x:v>
      </x:c>
      <x:c r="L967" s="11" t="n">
        <x:f>H967*(I967*0.62)</x:f>
        <x:v>669.5999999999999</x:v>
      </x:c>
      <x:c r="M967" s="11" t="n">
        <x:f>K967-L967</x:f>
        <x:v>410.4000000000001</x:v>
      </x:c>
      <x:c r="N967" s="8" t="str">
        <x:v>Direct</x:v>
      </x:c>
      <x:c r="O967" s="8" t="str">
        <x:v>Bank Transfer</x:v>
      </x:c>
      <x:c r="P967" s="8" t="str">
        <x:v>Closed Won</x:v>
      </x:c>
    </x:row>
    <x:row r="968">
      <x:c r="A968" s="8" t="str">
        <x:v>ORD-2025967</x:v>
      </x:c>
      <x:c r="B968" s="9" t="n">
        <x:v>45726</x:v>
      </x:c>
      <x:c r="C968" s="8" t="str">
        <x:v>East</x:v>
      </x:c>
      <x:c r="D968" s="8" t="str">
        <x:v>Ava Patel</x:v>
      </x:c>
      <x:c r="E968" s="8" t="str">
        <x:v>Cedar Group</x:v>
      </x:c>
      <x:c r="F968" s="8" t="str">
        <x:v>Hardware</x:v>
      </x:c>
      <x:c r="G968" s="8" t="str">
        <x:v>Dock Station</x:v>
      </x:c>
      <x:c r="H968" s="10" t="n">
        <x:v>7</x:v>
      </x:c>
      <x:c r="I968" s="11" t="n">
        <x:v>180</x:v>
      </x:c>
      <x:c r="J968" s="12" t="n">
        <x:v>0.1</x:v>
      </x:c>
      <x:c r="K968" s="11" t="n">
        <x:f>H968*I968*(1-J968)</x:f>
        <x:v>1134</x:v>
      </x:c>
      <x:c r="L968" s="11" t="n">
        <x:f>H968*(I968*0.62)</x:f>
        <x:v>781.1999999999999</x:v>
      </x:c>
      <x:c r="M968" s="11" t="n">
        <x:f>K968-L968</x:f>
        <x:v>352.80000000000007</x:v>
      </x:c>
      <x:c r="N968" s="8" t="str">
        <x:v>Direct</x:v>
      </x:c>
      <x:c r="O968" s="8" t="str">
        <x:v>Credit Card</x:v>
      </x:c>
      <x:c r="P968" s="8" t="str">
        <x:v>Shipped</x:v>
      </x:c>
    </x:row>
    <x:row r="969">
      <x:c r="A969" s="8" t="str">
        <x:v>ORD-2025968</x:v>
      </x:c>
      <x:c r="B969" s="9" t="n">
        <x:v>45700</x:v>
      </x:c>
      <x:c r="C969" s="8" t="str">
        <x:v>Central</x:v>
      </x:c>
      <x:c r="D969" s="8" t="str">
        <x:v>Ethan Garcia</x:v>
      </x:c>
      <x:c r="E969" s="8" t="str">
        <x:v>Urban Inc</x:v>
      </x:c>
      <x:c r="F969" s="8" t="str">
        <x:v>Services</x:v>
      </x:c>
      <x:c r="G969" s="8" t="str">
        <x:v>Support Plus</x:v>
      </x:c>
      <x:c r="H969" s="10" t="n">
        <x:v>14</x:v>
      </x:c>
      <x:c r="I969" s="11" t="n">
        <x:v>650</x:v>
      </x:c>
      <x:c r="J969" s="12" t="n">
        <x:v>0.1</x:v>
      </x:c>
      <x:c r="K969" s="11" t="n">
        <x:f>H969*I969*(1-J969)</x:f>
        <x:v>8190</x:v>
      </x:c>
      <x:c r="L969" s="11" t="n">
        <x:f>H969*(I969*0.62)</x:f>
        <x:v>5642</x:v>
      </x:c>
      <x:c r="M969" s="11" t="n">
        <x:f>K969-L969</x:f>
        <x:v>2548</x:v>
      </x:c>
      <x:c r="N969" s="8" t="str">
        <x:v>Partner</x:v>
      </x:c>
      <x:c r="O969" s="8" t="str">
        <x:v>Invoice</x:v>
      </x:c>
      <x:c r="P969" s="8" t="str">
        <x:v>Cancelled</x:v>
      </x:c>
    </x:row>
    <x:row r="970">
      <x:c r="A970" s="8" t="str">
        <x:v>ORD-2025969</x:v>
      </x:c>
      <x:c r="B970" s="9" t="n">
        <x:v>45770</x:v>
      </x:c>
      <x:c r="C970" s="8" t="str">
        <x:v>East</x:v>
      </x:c>
      <x:c r="D970" s="8" t="str">
        <x:v>Noah Davis</x:v>
      </x:c>
      <x:c r="E970" s="8" t="str">
        <x:v>Prime LLC</x:v>
      </x:c>
      <x:c r="F970" s="8" t="str">
        <x:v>Software</x:v>
      </x:c>
      <x:c r="G970" s="8" t="str">
        <x:v>HR Suite</x:v>
      </x:c>
      <x:c r="H970" s="10" t="n">
        <x:v>1</x:v>
      </x:c>
      <x:c r="I970" s="11" t="n">
        <x:v>950</x:v>
      </x:c>
      <x:c r="J970" s="12" t="n">
        <x:v>0.1</x:v>
      </x:c>
      <x:c r="K970" s="11" t="n">
        <x:f>H970*I970*(1-J970)</x:f>
        <x:v>855</x:v>
      </x:c>
      <x:c r="L970" s="11" t="n">
        <x:f>H970*(I970*0.62)</x:f>
        <x:v>589</x:v>
      </x:c>
      <x:c r="M970" s="11" t="n">
        <x:f>K970-L970</x:f>
        <x:v>266</x:v>
      </x:c>
      <x:c r="N970" s="8" t="str">
        <x:v>Online</x:v>
      </x:c>
      <x:c r="O970" s="8" t="str">
        <x:v>Credit Card</x:v>
      </x:c>
      <x:c r="P970" s="8" t="str">
        <x:v>Shipped</x:v>
      </x:c>
    </x:row>
    <x:row r="971">
      <x:c r="A971" s="8" t="str">
        <x:v>ORD-2025970</x:v>
      </x:c>
      <x:c r="B971" s="9" t="n">
        <x:v>45978</x:v>
      </x:c>
      <x:c r="C971" s="8" t="str">
        <x:v>Central</x:v>
      </x:c>
      <x:c r="D971" s="8" t="str">
        <x:v>Mason Lee</x:v>
      </x:c>
      <x:c r="E971" s="8" t="str">
        <x:v>Nexus Co</x:v>
      </x:c>
      <x:c r="F971" s="8" t="str">
        <x:v>Accessories</x:v>
      </x:c>
      <x:c r="G971" s="8" t="str">
        <x:v>Webcam HD</x:v>
      </x:c>
      <x:c r="H971" s="10" t="n">
        <x:v>15</x:v>
      </x:c>
      <x:c r="I971" s="11" t="n">
        <x:v>110</x:v>
      </x:c>
      <x:c r="J971" s="12" t="n">
        <x:v>0</x:v>
      </x:c>
      <x:c r="K971" s="11" t="n">
        <x:f>H971*I971*(1-J971)</x:f>
        <x:v>1650</x:v>
      </x:c>
      <x:c r="L971" s="11" t="n">
        <x:f>H971*(I971*0.62)</x:f>
        <x:v>1023</x:v>
      </x:c>
      <x:c r="M971" s="11" t="n">
        <x:f>K971-L971</x:f>
        <x:v>627</x:v>
      </x:c>
      <x:c r="N971" s="8" t="str">
        <x:v>Partner</x:v>
      </x:c>
      <x:c r="O971" s="8" t="str">
        <x:v>Invoice</x:v>
      </x:c>
      <x:c r="P971" s="8" t="str">
        <x:v>Closed Won</x:v>
      </x:c>
    </x:row>
    <x:row r="972">
      <x:c r="A972" s="8" t="str">
        <x:v>ORD-2025971</x:v>
      </x:c>
      <x:c r="B972" s="9" t="n">
        <x:v>45886</x:v>
      </x:c>
      <x:c r="C972" s="8" t="str">
        <x:v>South</x:v>
      </x:c>
      <x:c r="D972" s="8" t="str">
        <x:v>Lucas Brown</x:v>
      </x:c>
      <x:c r="E972" s="8" t="str">
        <x:v>Harbor Group</x:v>
      </x:c>
      <x:c r="F972" s="8" t="str">
        <x:v>Accessories</x:v>
      </x:c>
      <x:c r="G972" s="8" t="str">
        <x:v>Keyboard Pro</x:v>
      </x:c>
      <x:c r="H972" s="10" t="n">
        <x:v>5</x:v>
      </x:c>
      <x:c r="I972" s="11" t="n">
        <x:v>95</x:v>
      </x:c>
      <x:c r="J972" s="12" t="n">
        <x:v>0.05</x:v>
      </x:c>
      <x:c r="K972" s="11" t="n">
        <x:f>H972*I972*(1-J972)</x:f>
        <x:v>451.25</x:v>
      </x:c>
      <x:c r="L972" s="11" t="n">
        <x:f>H972*(I972*0.62)</x:f>
        <x:v>294.5</x:v>
      </x:c>
      <x:c r="M972" s="11" t="n">
        <x:f>K972-L972</x:f>
        <x:v>156.75</x:v>
      </x:c>
      <x:c r="N972" s="8" t="str">
        <x:v>Direct</x:v>
      </x:c>
      <x:c r="O972" s="8" t="str">
        <x:v>PayPal</x:v>
      </x:c>
      <x:c r="P972" s="8" t="str">
        <x:v>Closed Won</x:v>
      </x:c>
    </x:row>
    <x:row r="973">
      <x:c r="A973" s="8" t="str">
        <x:v>ORD-2025972</x:v>
      </x:c>
      <x:c r="B973" s="9" t="n">
        <x:v>45754</x:v>
      </x:c>
      <x:c r="C973" s="8" t="str">
        <x:v>Central</x:v>
      </x:c>
      <x:c r="D973" s="8" t="str">
        <x:v>Olivia Wilson</x:v>
      </x:c>
      <x:c r="E973" s="8" t="str">
        <x:v>GreenLeaf Group</x:v>
      </x:c>
      <x:c r="F973" s="8" t="str">
        <x:v>Hardware</x:v>
      </x:c>
      <x:c r="G973" s="8" t="str">
        <x:v>Tablet Air</x:v>
      </x:c>
      <x:c r="H973" s="10" t="n">
        <x:v>21</x:v>
      </x:c>
      <x:c r="I973" s="11" t="n">
        <x:v>820</x:v>
      </x:c>
      <x:c r="J973" s="12" t="n">
        <x:v>0</x:v>
      </x:c>
      <x:c r="K973" s="11" t="n">
        <x:f>H973*I973*(1-J973)</x:f>
        <x:v>17220</x:v>
      </x:c>
      <x:c r="L973" s="11" t="n">
        <x:f>H973*(I973*0.62)</x:f>
        <x:v>10676.4</x:v>
      </x:c>
      <x:c r="M973" s="11" t="n">
        <x:f>K973-L973</x:f>
        <x:v>6543.6</x:v>
      </x:c>
      <x:c r="N973" s="8" t="str">
        <x:v>Direct</x:v>
      </x:c>
      <x:c r="O973" s="8" t="str">
        <x:v>Invoice</x:v>
      </x:c>
      <x:c r="P973" s="8" t="str">
        <x:v>Closed Won</x:v>
      </x:c>
    </x:row>
    <x:row r="974">
      <x:c r="A974" s="8" t="str">
        <x:v>ORD-2025973</x:v>
      </x:c>
      <x:c r="B974" s="9" t="n">
        <x:v>46009</x:v>
      </x:c>
      <x:c r="C974" s="8" t="str">
        <x:v>Central</x:v>
      </x:c>
      <x:c r="D974" s="8" t="str">
        <x:v>Mia Johnson</x:v>
      </x:c>
      <x:c r="E974" s="8" t="str">
        <x:v>BlueSky LLC</x:v>
      </x:c>
      <x:c r="F974" s="8" t="str">
        <x:v>Hardware</x:v>
      </x:c>
      <x:c r="G974" s="8" t="str">
        <x:v>Monitor 27</x:v>
      </x:c>
      <x:c r="H974" s="10" t="n">
        <x:v>5</x:v>
      </x:c>
      <x:c r="I974" s="11" t="n">
        <x:v>320</x:v>
      </x:c>
      <x:c r="J974" s="12" t="n">
        <x:v>0</x:v>
      </x:c>
      <x:c r="K974" s="11" t="n">
        <x:f>H974*I974*(1-J974)</x:f>
        <x:v>1600</x:v>
      </x:c>
      <x:c r="L974" s="11" t="n">
        <x:f>H974*(I974*0.62)</x:f>
        <x:v>992</x:v>
      </x:c>
      <x:c r="M974" s="11" t="n">
        <x:f>K974-L974</x:f>
        <x:v>608</x:v>
      </x:c>
      <x:c r="N974" s="8" t="str">
        <x:v>Partner</x:v>
      </x:c>
      <x:c r="O974" s="8" t="str">
        <x:v>Bank Transfer</x:v>
      </x:c>
      <x:c r="P974" s="8" t="str">
        <x:v>Pending</x:v>
      </x:c>
    </x:row>
    <x:row r="975">
      <x:c r="A975" s="8" t="str">
        <x:v>ORD-2025974</x:v>
      </x:c>
      <x:c r="B975" s="9" t="n">
        <x:v>45927</x:v>
      </x:c>
      <x:c r="C975" s="8" t="str">
        <x:v>South</x:v>
      </x:c>
      <x:c r="D975" s="8" t="str">
        <x:v>Ava Patel</x:v>
      </x:c>
      <x:c r="E975" s="8" t="str">
        <x:v>Nova Inc</x:v>
      </x:c>
      <x:c r="F975" s="8" t="str">
        <x:v>Accessories</x:v>
      </x:c>
      <x:c r="G975" s="8" t="str">
        <x:v>Wireless Mouse</x:v>
      </x:c>
      <x:c r="H975" s="10" t="n">
        <x:v>4</x:v>
      </x:c>
      <x:c r="I975" s="11" t="n">
        <x:v>40</x:v>
      </x:c>
      <x:c r="J975" s="12" t="n">
        <x:v>0.05</x:v>
      </x:c>
      <x:c r="K975" s="11" t="n">
        <x:f>H975*I975*(1-J975)</x:f>
        <x:v>152</x:v>
      </x:c>
      <x:c r="L975" s="11" t="n">
        <x:f>H975*(I975*0.62)</x:f>
        <x:v>99.2</x:v>
      </x:c>
      <x:c r="M975" s="11" t="n">
        <x:f>K975-L975</x:f>
        <x:v>52.8</x:v>
      </x:c>
      <x:c r="N975" s="8" t="str">
        <x:v>Partner</x:v>
      </x:c>
      <x:c r="O975" s="8" t="str">
        <x:v>Credit Card</x:v>
      </x:c>
      <x:c r="P975" s="8" t="str">
        <x:v>Closed Won</x:v>
      </x:c>
    </x:row>
    <x:row r="976">
      <x:c r="A976" s="8" t="str">
        <x:v>ORD-2025975</x:v>
      </x:c>
      <x:c r="B976" s="9" t="n">
        <x:v>45725</x:v>
      </x:c>
      <x:c r="C976" s="8" t="str">
        <x:v>South</x:v>
      </x:c>
      <x:c r="D976" s="8" t="str">
        <x:v>Liam Chen</x:v>
      </x:c>
      <x:c r="E976" s="8" t="str">
        <x:v>Prime Co</x:v>
      </x:c>
      <x:c r="F976" s="8" t="str">
        <x:v>Software</x:v>
      </x:c>
      <x:c r="G976" s="8" t="str">
        <x:v>CRM Pro</x:v>
      </x:c>
      <x:c r="H976" s="10" t="n">
        <x:v>5</x:v>
      </x:c>
      <x:c r="I976" s="11" t="n">
        <x:v>1200</x:v>
      </x:c>
      <x:c r="J976" s="12" t="n">
        <x:v>0.15</x:v>
      </x:c>
      <x:c r="K976" s="11" t="n">
        <x:f>H976*I976*(1-J976)</x:f>
        <x:v>5100</x:v>
      </x:c>
      <x:c r="L976" s="11" t="n">
        <x:f>H976*(I976*0.62)</x:f>
        <x:v>3720</x:v>
      </x:c>
      <x:c r="M976" s="11" t="n">
        <x:f>K976-L976</x:f>
        <x:v>1380</x:v>
      </x:c>
      <x:c r="N976" s="8" t="str">
        <x:v>Online</x:v>
      </x:c>
      <x:c r="O976" s="8" t="str">
        <x:v>Credit Card</x:v>
      </x:c>
      <x:c r="P976" s="8" t="str">
        <x:v>Shipped</x:v>
      </x:c>
    </x:row>
    <x:row r="977">
      <x:c r="A977" s="8" t="str">
        <x:v>ORD-2025976</x:v>
      </x:c>
      <x:c r="B977" s="9" t="n">
        <x:v>45935</x:v>
      </x:c>
      <x:c r="C977" s="8" t="str">
        <x:v>East</x:v>
      </x:c>
      <x:c r="D977" s="8" t="str">
        <x:v>Liam Chen</x:v>
      </x:c>
      <x:c r="E977" s="8" t="str">
        <x:v>Nexus Inc</x:v>
      </x:c>
      <x:c r="F977" s="8" t="str">
        <x:v>Software</x:v>
      </x:c>
      <x:c r="G977" s="8" t="str">
        <x:v>CRM Pro</x:v>
      </x:c>
      <x:c r="H977" s="10" t="n">
        <x:v>5</x:v>
      </x:c>
      <x:c r="I977" s="11" t="n">
        <x:v>1200</x:v>
      </x:c>
      <x:c r="J977" s="12" t="n">
        <x:v>0.05</x:v>
      </x:c>
      <x:c r="K977" s="11" t="n">
        <x:f>H977*I977*(1-J977)</x:f>
        <x:v>5700</x:v>
      </x:c>
      <x:c r="L977" s="11" t="n">
        <x:f>H977*(I977*0.62)</x:f>
        <x:v>3720</x:v>
      </x:c>
      <x:c r="M977" s="11" t="n">
        <x:f>K977-L977</x:f>
        <x:v>1980</x:v>
      </x:c>
      <x:c r="N977" s="8" t="str">
        <x:v>Online</x:v>
      </x:c>
      <x:c r="O977" s="8" t="str">
        <x:v>PayPal</x:v>
      </x:c>
      <x:c r="P977" s="8" t="str">
        <x:v>Returned</x:v>
      </x:c>
    </x:row>
    <x:row r="978">
      <x:c r="A978" s="8" t="str">
        <x:v>ORD-2025977</x:v>
      </x:c>
      <x:c r="B978" s="9" t="n">
        <x:v>45903</x:v>
      </x:c>
      <x:c r="C978" s="8" t="str">
        <x:v>South</x:v>
      </x:c>
      <x:c r="D978" s="8" t="str">
        <x:v>Mia Johnson</x:v>
      </x:c>
      <x:c r="E978" s="8" t="str">
        <x:v>Summit Group</x:v>
      </x:c>
      <x:c r="F978" s="8" t="str">
        <x:v>Services</x:v>
      </x:c>
      <x:c r="G978" s="8" t="str">
        <x:v>Support Plus</x:v>
      </x:c>
      <x:c r="H978" s="10" t="n">
        <x:v>18</x:v>
      </x:c>
      <x:c r="I978" s="11" t="n">
        <x:v>650</x:v>
      </x:c>
      <x:c r="J978" s="12" t="n">
        <x:v>0.15</x:v>
      </x:c>
      <x:c r="K978" s="11" t="n">
        <x:f>H978*I978*(1-J978)</x:f>
        <x:v>9945</x:v>
      </x:c>
      <x:c r="L978" s="11" t="n">
        <x:f>H978*(I978*0.62)</x:f>
        <x:v>7254</x:v>
      </x:c>
      <x:c r="M978" s="11" t="n">
        <x:f>K978-L978</x:f>
        <x:v>2691</x:v>
      </x:c>
      <x:c r="N978" s="8" t="str">
        <x:v>Partner</x:v>
      </x:c>
      <x:c r="O978" s="8" t="str">
        <x:v>Credit Card</x:v>
      </x:c>
      <x:c r="P978" s="8" t="str">
        <x:v>Closed Won</x:v>
      </x:c>
    </x:row>
    <x:row r="979">
      <x:c r="A979" s="8" t="str">
        <x:v>ORD-2025978</x:v>
      </x:c>
      <x:c r="B979" s="9" t="n">
        <x:v>45936</x:v>
      </x:c>
      <x:c r="C979" s="8" t="str">
        <x:v>East</x:v>
      </x:c>
      <x:c r="D979" s="8" t="str">
        <x:v>Liam Chen</x:v>
      </x:c>
      <x:c r="E979" s="8" t="str">
        <x:v>Southridge Inc</x:v>
      </x:c>
      <x:c r="F979" s="8" t="str">
        <x:v>Software</x:v>
      </x:c>
      <x:c r="G979" s="8" t="str">
        <x:v>CRM Pro</x:v>
      </x:c>
      <x:c r="H979" s="10" t="n">
        <x:v>14</x:v>
      </x:c>
      <x:c r="I979" s="11" t="n">
        <x:v>1200</x:v>
      </x:c>
      <x:c r="J979" s="12" t="n">
        <x:v>0</x:v>
      </x:c>
      <x:c r="K979" s="11" t="n">
        <x:f>H979*I979*(1-J979)</x:f>
        <x:v>16800</x:v>
      </x:c>
      <x:c r="L979" s="11" t="n">
        <x:f>H979*(I979*0.62)</x:f>
        <x:v>10416</x:v>
      </x:c>
      <x:c r="M979" s="11" t="n">
        <x:f>K979-L979</x:f>
        <x:v>6384</x:v>
      </x:c>
      <x:c r="N979" s="8" t="str">
        <x:v>Direct</x:v>
      </x:c>
      <x:c r="O979" s="8" t="str">
        <x:v>Bank Transfer</x:v>
      </x:c>
      <x:c r="P979" s="8" t="str">
        <x:v>Closed Won</x:v>
      </x:c>
    </x:row>
    <x:row r="980">
      <x:c r="A980" s="8" t="str">
        <x:v>ORD-2025979</x:v>
      </x:c>
      <x:c r="B980" s="9" t="n">
        <x:v>45733</x:v>
      </x:c>
      <x:c r="C980" s="8" t="str">
        <x:v>East</x:v>
      </x:c>
      <x:c r="D980" s="8" t="str">
        <x:v>Ethan Garcia</x:v>
      </x:c>
      <x:c r="E980" s="8" t="str">
        <x:v>Cedar LLC</x:v>
      </x:c>
      <x:c r="F980" s="8" t="str">
        <x:v>Accessories</x:v>
      </x:c>
      <x:c r="G980" s="8" t="str">
        <x:v>Headset</x:v>
      </x:c>
      <x:c r="H980" s="10" t="n">
        <x:v>22</x:v>
      </x:c>
      <x:c r="I980" s="11" t="n">
        <x:v>85</x:v>
      </x:c>
      <x:c r="J980" s="12" t="n">
        <x:v>0.05</x:v>
      </x:c>
      <x:c r="K980" s="11" t="n">
        <x:f>H980*I980*(1-J980)</x:f>
        <x:v>1776.5</x:v>
      </x:c>
      <x:c r="L980" s="11" t="n">
        <x:f>H980*(I980*0.62)</x:f>
        <x:v>1159.4</x:v>
      </x:c>
      <x:c r="M980" s="11" t="n">
        <x:f>K980-L980</x:f>
        <x:v>617.0999999999999</x:v>
      </x:c>
      <x:c r="N980" s="8" t="str">
        <x:v>Online</x:v>
      </x:c>
      <x:c r="O980" s="8" t="str">
        <x:v>Credit Card</x:v>
      </x:c>
      <x:c r="P980" s="8" t="str">
        <x:v>Pending</x:v>
      </x:c>
    </x:row>
    <x:row r="981">
      <x:c r="A981" s="8" t="str">
        <x:v>ORD-2025980</x:v>
      </x:c>
      <x:c r="B981" s="9" t="n">
        <x:v>45710</x:v>
      </x:c>
      <x:c r="C981" s="8" t="str">
        <x:v>East</x:v>
      </x:c>
      <x:c r="D981" s="8" t="str">
        <x:v>Sophia Kim</x:v>
      </x:c>
      <x:c r="E981" s="8" t="str">
        <x:v>BlueSky Inc</x:v>
      </x:c>
      <x:c r="F981" s="8" t="str">
        <x:v>Software</x:v>
      </x:c>
      <x:c r="G981" s="8" t="str">
        <x:v>Analytics Cloud</x:v>
      </x:c>
      <x:c r="H981" s="10" t="n">
        <x:v>20</x:v>
      </x:c>
      <x:c r="I981" s="11" t="n">
        <x:v>1800</x:v>
      </x:c>
      <x:c r="J981" s="12" t="n">
        <x:v>0</x:v>
      </x:c>
      <x:c r="K981" s="11" t="n">
        <x:f>H981*I981*(1-J981)</x:f>
        <x:v>36000</x:v>
      </x:c>
      <x:c r="L981" s="11" t="n">
        <x:f>H981*(I981*0.62)</x:f>
        <x:v>22320</x:v>
      </x:c>
      <x:c r="M981" s="11" t="n">
        <x:f>K981-L981</x:f>
        <x:v>13680</x:v>
      </x:c>
      <x:c r="N981" s="8" t="str">
        <x:v>Direct</x:v>
      </x:c>
      <x:c r="O981" s="8" t="str">
        <x:v>Invoice</x:v>
      </x:c>
      <x:c r="P981" s="8" t="str">
        <x:v>Cancelled</x:v>
      </x:c>
    </x:row>
    <x:row r="982">
      <x:c r="A982" s="8" t="str">
        <x:v>ORD-2025981</x:v>
      </x:c>
      <x:c r="B982" s="9" t="n">
        <x:v>45967</x:v>
      </x:c>
      <x:c r="C982" s="8" t="str">
        <x:v>South</x:v>
      </x:c>
      <x:c r="D982" s="8" t="str">
        <x:v>Noah Davis</x:v>
      </x:c>
      <x:c r="E982" s="8" t="str">
        <x:v>RedStone Co</x:v>
      </x:c>
      <x:c r="F982" s="8" t="str">
        <x:v>Software</x:v>
      </x:c>
      <x:c r="G982" s="8" t="str">
        <x:v>CRM Pro</x:v>
      </x:c>
      <x:c r="H982" s="10" t="n">
        <x:v>17</x:v>
      </x:c>
      <x:c r="I982" s="11" t="n">
        <x:v>1200</x:v>
      </x:c>
      <x:c r="J982" s="12" t="n">
        <x:v>0</x:v>
      </x:c>
      <x:c r="K982" s="11" t="n">
        <x:f>H982*I982*(1-J982)</x:f>
        <x:v>20400</x:v>
      </x:c>
      <x:c r="L982" s="11" t="n">
        <x:f>H982*(I982*0.62)</x:f>
        <x:v>12648</x:v>
      </x:c>
      <x:c r="M982" s="11" t="n">
        <x:f>K982-L982</x:f>
        <x:v>7752</x:v>
      </x:c>
      <x:c r="N982" s="8" t="str">
        <x:v>Online</x:v>
      </x:c>
      <x:c r="O982" s="8" t="str">
        <x:v>Bank Transfer</x:v>
      </x:c>
      <x:c r="P982" s="8" t="str">
        <x:v>Shipped</x:v>
      </x:c>
    </x:row>
    <x:row r="983">
      <x:c r="A983" s="8" t="str">
        <x:v>ORD-2025982</x:v>
      </x:c>
      <x:c r="B983" s="9" t="n">
        <x:v>45977</x:v>
      </x:c>
      <x:c r="C983" s="8" t="str">
        <x:v>East</x:v>
      </x:c>
      <x:c r="D983" s="8" t="str">
        <x:v>Sophia Kim</x:v>
      </x:c>
      <x:c r="E983" s="8" t="str">
        <x:v>Pioneer Inc</x:v>
      </x:c>
      <x:c r="F983" s="8" t="str">
        <x:v>Hardware</x:v>
      </x:c>
      <x:c r="G983" s="8" t="str">
        <x:v>Dock Station</x:v>
      </x:c>
      <x:c r="H983" s="10" t="n">
        <x:v>9</x:v>
      </x:c>
      <x:c r="I983" s="11" t="n">
        <x:v>180</x:v>
      </x:c>
      <x:c r="J983" s="12" t="n">
        <x:v>0.05</x:v>
      </x:c>
      <x:c r="K983" s="11" t="n">
        <x:f>H983*I983*(1-J983)</x:f>
        <x:v>1539</x:v>
      </x:c>
      <x:c r="L983" s="11" t="n">
        <x:f>H983*(I983*0.62)</x:f>
        <x:v>1004.4</x:v>
      </x:c>
      <x:c r="M983" s="11" t="n">
        <x:f>K983-L983</x:f>
        <x:v>534.6</x:v>
      </x:c>
      <x:c r="N983" s="8" t="str">
        <x:v>Online</x:v>
      </x:c>
      <x:c r="O983" s="8" t="str">
        <x:v>Invoice</x:v>
      </x:c>
      <x:c r="P983" s="8" t="str">
        <x:v>Cancelled</x:v>
      </x:c>
    </x:row>
    <x:row r="984">
      <x:c r="A984" s="8" t="str">
        <x:v>ORD-2025983</x:v>
      </x:c>
      <x:c r="B984" s="9" t="n">
        <x:v>45734</x:v>
      </x:c>
      <x:c r="C984" s="8" t="str">
        <x:v>South</x:v>
      </x:c>
      <x:c r="D984" s="8" t="str">
        <x:v>Sophia Kim</x:v>
      </x:c>
      <x:c r="E984" s="8" t="str">
        <x:v>Urban Co</x:v>
      </x:c>
      <x:c r="F984" s="8" t="str">
        <x:v>Software</x:v>
      </x:c>
      <x:c r="G984" s="8" t="str">
        <x:v>CRM Pro</x:v>
      </x:c>
      <x:c r="H984" s="10" t="n">
        <x:v>13</x:v>
      </x:c>
      <x:c r="I984" s="11" t="n">
        <x:v>1200</x:v>
      </x:c>
      <x:c r="J984" s="12" t="n">
        <x:v>0.05</x:v>
      </x:c>
      <x:c r="K984" s="11" t="n">
        <x:f>H984*I984*(1-J984)</x:f>
        <x:v>14820</x:v>
      </x:c>
      <x:c r="L984" s="11" t="n">
        <x:f>H984*(I984*0.62)</x:f>
        <x:v>9672</x:v>
      </x:c>
      <x:c r="M984" s="11" t="n">
        <x:f>K984-L984</x:f>
        <x:v>5148</x:v>
      </x:c>
      <x:c r="N984" s="8" t="str">
        <x:v>Online</x:v>
      </x:c>
      <x:c r="O984" s="8" t="str">
        <x:v>PayPal</x:v>
      </x:c>
      <x:c r="P984" s="8" t="str">
        <x:v>Returned</x:v>
      </x:c>
    </x:row>
    <x:row r="985">
      <x:c r="A985" s="8" t="str">
        <x:v>ORD-2025984</x:v>
      </x:c>
      <x:c r="B985" s="9" t="n">
        <x:v>45800</x:v>
      </x:c>
      <x:c r="C985" s="8" t="str">
        <x:v>South</x:v>
      </x:c>
      <x:c r="D985" s="8" t="str">
        <x:v>Liam Chen</x:v>
      </x:c>
      <x:c r="E985" s="8" t="str">
        <x:v>BrightPath Inc</x:v>
      </x:c>
      <x:c r="F985" s="8" t="str">
        <x:v>Software</x:v>
      </x:c>
      <x:c r="G985" s="8" t="str">
        <x:v>ProjectFlow</x:v>
      </x:c>
      <x:c r="H985" s="10" t="n">
        <x:v>5</x:v>
      </x:c>
      <x:c r="I985" s="11" t="n">
        <x:v>700</x:v>
      </x:c>
      <x:c r="J985" s="12" t="n">
        <x:v>0</x:v>
      </x:c>
      <x:c r="K985" s="11" t="n">
        <x:f>H985*I985*(1-J985)</x:f>
        <x:v>3500</x:v>
      </x:c>
      <x:c r="L985" s="11" t="n">
        <x:f>H985*(I985*0.62)</x:f>
        <x:v>2170</x:v>
      </x:c>
      <x:c r="M985" s="11" t="n">
        <x:f>K985-L985</x:f>
        <x:v>1330</x:v>
      </x:c>
      <x:c r="N985" s="8" t="str">
        <x:v>Partner</x:v>
      </x:c>
      <x:c r="O985" s="8" t="str">
        <x:v>Invoice</x:v>
      </x:c>
      <x:c r="P985" s="8" t="str">
        <x:v>Closed Won</x:v>
      </x:c>
    </x:row>
    <x:row r="986">
      <x:c r="A986" s="8" t="str">
        <x:v>ORD-2025985</x:v>
      </x:c>
      <x:c r="B986" s="9" t="n">
        <x:v>46013</x:v>
      </x:c>
      <x:c r="C986" s="8" t="str">
        <x:v>West</x:v>
      </x:c>
      <x:c r="D986" s="8" t="str">
        <x:v>Emma Martin</x:v>
      </x:c>
      <x:c r="E986" s="8" t="str">
        <x:v>BrightPath Co</x:v>
      </x:c>
      <x:c r="F986" s="8" t="str">
        <x:v>Accessories</x:v>
      </x:c>
      <x:c r="G986" s="8" t="str">
        <x:v>Headset</x:v>
      </x:c>
      <x:c r="H986" s="10" t="n">
        <x:v>5</x:v>
      </x:c>
      <x:c r="I986" s="11" t="n">
        <x:v>85</x:v>
      </x:c>
      <x:c r="J986" s="12" t="n">
        <x:v>0.2</x:v>
      </x:c>
      <x:c r="K986" s="11" t="n">
        <x:f>H986*I986*(1-J986)</x:f>
        <x:v>340</x:v>
      </x:c>
      <x:c r="L986" s="11" t="n">
        <x:f>H986*(I986*0.62)</x:f>
        <x:v>263.5</x:v>
      </x:c>
      <x:c r="M986" s="11" t="n">
        <x:f>K986-L986</x:f>
        <x:v>76.5</x:v>
      </x:c>
      <x:c r="N986" s="8" t="str">
        <x:v>Online</x:v>
      </x:c>
      <x:c r="O986" s="8" t="str">
        <x:v>Bank Transfer</x:v>
      </x:c>
      <x:c r="P986" s="8" t="str">
        <x:v>Closed Won</x:v>
      </x:c>
    </x:row>
    <x:row r="987">
      <x:c r="A987" s="8" t="str">
        <x:v>ORD-2025986</x:v>
      </x:c>
      <x:c r="B987" s="9" t="n">
        <x:v>45930</x:v>
      </x:c>
      <x:c r="C987" s="8" t="str">
        <x:v>Central</x:v>
      </x:c>
      <x:c r="D987" s="8" t="str">
        <x:v>Mia Johnson</x:v>
      </x:c>
      <x:c r="E987" s="8" t="str">
        <x:v>SilverLine Inc</x:v>
      </x:c>
      <x:c r="F987" s="8" t="str">
        <x:v>Accessories</x:v>
      </x:c>
      <x:c r="G987" s="8" t="str">
        <x:v>Headset</x:v>
      </x:c>
      <x:c r="H987" s="10" t="n">
        <x:v>3</x:v>
      </x:c>
      <x:c r="I987" s="11" t="n">
        <x:v>85</x:v>
      </x:c>
      <x:c r="J987" s="12" t="n">
        <x:v>0.1</x:v>
      </x:c>
      <x:c r="K987" s="11" t="n">
        <x:f>H987*I987*(1-J987)</x:f>
        <x:v>229.5</x:v>
      </x:c>
      <x:c r="L987" s="11" t="n">
        <x:f>H987*(I987*0.62)</x:f>
        <x:v>158.10000000000002</x:v>
      </x:c>
      <x:c r="M987" s="11" t="n">
        <x:f>K987-L987</x:f>
        <x:v>71.39999999999998</x:v>
      </x:c>
      <x:c r="N987" s="8" t="str">
        <x:v>Online</x:v>
      </x:c>
      <x:c r="O987" s="8" t="str">
        <x:v>PayPal</x:v>
      </x:c>
      <x:c r="P987" s="8" t="str">
        <x:v>Pending</x:v>
      </x:c>
    </x:row>
    <x:row r="988">
      <x:c r="A988" s="8" t="str">
        <x:v>ORD-2025987</x:v>
      </x:c>
      <x:c r="B988" s="9" t="n">
        <x:v>45778</x:v>
      </x:c>
      <x:c r="C988" s="8" t="str">
        <x:v>East</x:v>
      </x:c>
      <x:c r="D988" s="8" t="str">
        <x:v>Ava Patel</x:v>
      </x:c>
      <x:c r="E988" s="8" t="str">
        <x:v>Nexus Co</x:v>
      </x:c>
      <x:c r="F988" s="8" t="str">
        <x:v>Hardware</x:v>
      </x:c>
      <x:c r="G988" s="8" t="str">
        <x:v>Laptop X</x:v>
      </x:c>
      <x:c r="H988" s="10" t="n">
        <x:v>1</x:v>
      </x:c>
      <x:c r="I988" s="11" t="n">
        <x:v>1500</x:v>
      </x:c>
      <x:c r="J988" s="12" t="n">
        <x:v>0</x:v>
      </x:c>
      <x:c r="K988" s="11" t="n">
        <x:f>H988*I988*(1-J988)</x:f>
        <x:v>1500</x:v>
      </x:c>
      <x:c r="L988" s="11" t="n">
        <x:f>H988*(I988*0.62)</x:f>
        <x:v>930</x:v>
      </x:c>
      <x:c r="M988" s="11" t="n">
        <x:f>K988-L988</x:f>
        <x:v>570</x:v>
      </x:c>
      <x:c r="N988" s="8" t="str">
        <x:v>Online</x:v>
      </x:c>
      <x:c r="O988" s="8" t="str">
        <x:v>PayPal</x:v>
      </x:c>
      <x:c r="P988" s="8" t="str">
        <x:v>Cancelled</x:v>
      </x:c>
    </x:row>
    <x:row r="989">
      <x:c r="A989" s="8" t="str">
        <x:v>ORD-2025988</x:v>
      </x:c>
      <x:c r="B989" s="9" t="n">
        <x:v>45836</x:v>
      </x:c>
      <x:c r="C989" s="8" t="str">
        <x:v>East</x:v>
      </x:c>
      <x:c r="D989" s="8" t="str">
        <x:v>Noah Davis</x:v>
      </x:c>
      <x:c r="E989" s="8" t="str">
        <x:v>Vertex Inc</x:v>
      </x:c>
      <x:c r="F989" s="8" t="str">
        <x:v>Software</x:v>
      </x:c>
      <x:c r="G989" s="8" t="str">
        <x:v>CRM Pro</x:v>
      </x:c>
      <x:c r="H989" s="10" t="n">
        <x:v>15</x:v>
      </x:c>
      <x:c r="I989" s="11" t="n">
        <x:v>1200</x:v>
      </x:c>
      <x:c r="J989" s="12" t="n">
        <x:v>0</x:v>
      </x:c>
      <x:c r="K989" s="11" t="n">
        <x:f>H989*I989*(1-J989)</x:f>
        <x:v>18000</x:v>
      </x:c>
      <x:c r="L989" s="11" t="n">
        <x:f>H989*(I989*0.62)</x:f>
        <x:v>11160</x:v>
      </x:c>
      <x:c r="M989" s="11" t="n">
        <x:f>K989-L989</x:f>
        <x:v>6840</x:v>
      </x:c>
      <x:c r="N989" s="8" t="str">
        <x:v>Online</x:v>
      </x:c>
      <x:c r="O989" s="8" t="str">
        <x:v>PayPal</x:v>
      </x:c>
      <x:c r="P989" s="8" t="str">
        <x:v>Closed Won</x:v>
      </x:c>
    </x:row>
    <x:row r="990">
      <x:c r="A990" s="8" t="str">
        <x:v>ORD-2025989</x:v>
      </x:c>
      <x:c r="B990" s="9" t="n">
        <x:v>45728</x:v>
      </x:c>
      <x:c r="C990" s="8" t="str">
        <x:v>North</x:v>
      </x:c>
      <x:c r="D990" s="8" t="str">
        <x:v>Noah Davis</x:v>
      </x:c>
      <x:c r="E990" s="8" t="str">
        <x:v>SilverLine LLC</x:v>
      </x:c>
      <x:c r="F990" s="8" t="str">
        <x:v>Hardware</x:v>
      </x:c>
      <x:c r="G990" s="8" t="str">
        <x:v>Laptop X</x:v>
      </x:c>
      <x:c r="H990" s="10" t="n">
        <x:v>24</x:v>
      </x:c>
      <x:c r="I990" s="11" t="n">
        <x:v>1500</x:v>
      </x:c>
      <x:c r="J990" s="12" t="n">
        <x:v>0</x:v>
      </x:c>
      <x:c r="K990" s="11" t="n">
        <x:f>H990*I990*(1-J990)</x:f>
        <x:v>36000</x:v>
      </x:c>
      <x:c r="L990" s="11" t="n">
        <x:f>H990*(I990*0.62)</x:f>
        <x:v>22320</x:v>
      </x:c>
      <x:c r="M990" s="11" t="n">
        <x:f>K990-L990</x:f>
        <x:v>13680</x:v>
      </x:c>
      <x:c r="N990" s="8" t="str">
        <x:v>Online</x:v>
      </x:c>
      <x:c r="O990" s="8" t="str">
        <x:v>PayPal</x:v>
      </x:c>
      <x:c r="P990" s="8" t="str">
        <x:v>Closed Won</x:v>
      </x:c>
    </x:row>
    <x:row r="991">
      <x:c r="A991" s="8" t="str">
        <x:v>ORD-2025990</x:v>
      </x:c>
      <x:c r="B991" s="9" t="n">
        <x:v>45902</x:v>
      </x:c>
      <x:c r="C991" s="8" t="str">
        <x:v>Central</x:v>
      </x:c>
      <x:c r="D991" s="8" t="str">
        <x:v>Noah Davis</x:v>
      </x:c>
      <x:c r="E991" s="8" t="str">
        <x:v>Acme Group</x:v>
      </x:c>
      <x:c r="F991" s="8" t="str">
        <x:v>Software</x:v>
      </x:c>
      <x:c r="G991" s="8" t="str">
        <x:v>CRM Pro</x:v>
      </x:c>
      <x:c r="H991" s="10" t="n">
        <x:v>5</x:v>
      </x:c>
      <x:c r="I991" s="11" t="n">
        <x:v>1200</x:v>
      </x:c>
      <x:c r="J991" s="12" t="n">
        <x:v>0</x:v>
      </x:c>
      <x:c r="K991" s="11" t="n">
        <x:f>H991*I991*(1-J991)</x:f>
        <x:v>6000</x:v>
      </x:c>
      <x:c r="L991" s="11" t="n">
        <x:f>H991*(I991*0.62)</x:f>
        <x:v>3720</x:v>
      </x:c>
      <x:c r="M991" s="11" t="n">
        <x:f>K991-L991</x:f>
        <x:v>2280</x:v>
      </x:c>
      <x:c r="N991" s="8" t="str">
        <x:v>Direct</x:v>
      </x:c>
      <x:c r="O991" s="8" t="str">
        <x:v>Credit Card</x:v>
      </x:c>
      <x:c r="P991" s="8" t="str">
        <x:v>Closed Won</x:v>
      </x:c>
    </x:row>
    <x:row r="992">
      <x:c r="A992" s="8" t="str">
        <x:v>ORD-2025991</x:v>
      </x:c>
      <x:c r="B992" s="9" t="n">
        <x:v>45734</x:v>
      </x:c>
      <x:c r="C992" s="8" t="str">
        <x:v>South</x:v>
      </x:c>
      <x:c r="D992" s="8" t="str">
        <x:v>Olivia Wilson</x:v>
      </x:c>
      <x:c r="E992" s="8" t="str">
        <x:v>Urban Inc</x:v>
      </x:c>
      <x:c r="F992" s="8" t="str">
        <x:v>Software</x:v>
      </x:c>
      <x:c r="G992" s="8" t="str">
        <x:v>ProjectFlow</x:v>
      </x:c>
      <x:c r="H992" s="10" t="n">
        <x:v>24</x:v>
      </x:c>
      <x:c r="I992" s="11" t="n">
        <x:v>700</x:v>
      </x:c>
      <x:c r="J992" s="12" t="n">
        <x:v>0.1</x:v>
      </x:c>
      <x:c r="K992" s="11" t="n">
        <x:f>H992*I992*(1-J992)</x:f>
        <x:v>15120</x:v>
      </x:c>
      <x:c r="L992" s="11" t="n">
        <x:f>H992*(I992*0.62)</x:f>
        <x:v>10416</x:v>
      </x:c>
      <x:c r="M992" s="11" t="n">
        <x:f>K992-L992</x:f>
        <x:v>4704</x:v>
      </x:c>
      <x:c r="N992" s="8" t="str">
        <x:v>Online</x:v>
      </x:c>
      <x:c r="O992" s="8" t="str">
        <x:v>Invoice</x:v>
      </x:c>
      <x:c r="P992" s="8" t="str">
        <x:v>Pending</x:v>
      </x:c>
    </x:row>
    <x:row r="993">
      <x:c r="A993" s="8" t="str">
        <x:v>ORD-2025992</x:v>
      </x:c>
      <x:c r="B993" s="9" t="n">
        <x:v>45988</x:v>
      </x:c>
      <x:c r="C993" s="8" t="str">
        <x:v>North</x:v>
      </x:c>
      <x:c r="D993" s="8" t="str">
        <x:v>Ethan Garcia</x:v>
      </x:c>
      <x:c r="E993" s="8" t="str">
        <x:v>Pioneer Co</x:v>
      </x:c>
      <x:c r="F993" s="8" t="str">
        <x:v>Services</x:v>
      </x:c>
      <x:c r="G993" s="8" t="str">
        <x:v>Consulting Day</x:v>
      </x:c>
      <x:c r="H993" s="10" t="n">
        <x:v>5</x:v>
      </x:c>
      <x:c r="I993" s="11" t="n">
        <x:v>1400</x:v>
      </x:c>
      <x:c r="J993" s="12" t="n">
        <x:v>0</x:v>
      </x:c>
      <x:c r="K993" s="11" t="n">
        <x:f>H993*I993*(1-J993)</x:f>
        <x:v>7000</x:v>
      </x:c>
      <x:c r="L993" s="11" t="n">
        <x:f>H993*(I993*0.62)</x:f>
        <x:v>4340</x:v>
      </x:c>
      <x:c r="M993" s="11" t="n">
        <x:f>K993-L993</x:f>
        <x:v>2660</x:v>
      </x:c>
      <x:c r="N993" s="8" t="str">
        <x:v>Online</x:v>
      </x:c>
      <x:c r="O993" s="8" t="str">
        <x:v>Credit Card</x:v>
      </x:c>
      <x:c r="P993" s="8" t="str">
        <x:v>Shipped</x:v>
      </x:c>
    </x:row>
    <x:row r="994">
      <x:c r="A994" s="8" t="str">
        <x:v>ORD-2025993</x:v>
      </x:c>
      <x:c r="B994" s="9" t="n">
        <x:v>45663</x:v>
      </x:c>
      <x:c r="C994" s="8" t="str">
        <x:v>West</x:v>
      </x:c>
      <x:c r="D994" s="8" t="str">
        <x:v>Lucas Brown</x:v>
      </x:c>
      <x:c r="E994" s="8" t="str">
        <x:v>GoldenGate Co</x:v>
      </x:c>
      <x:c r="F994" s="8" t="str">
        <x:v>Hardware</x:v>
      </x:c>
      <x:c r="G994" s="8" t="str">
        <x:v>Tablet Air</x:v>
      </x:c>
      <x:c r="H994" s="10" t="n">
        <x:v>18</x:v>
      </x:c>
      <x:c r="I994" s="11" t="n">
        <x:v>820</x:v>
      </x:c>
      <x:c r="J994" s="12" t="n">
        <x:v>0.15</x:v>
      </x:c>
      <x:c r="K994" s="11" t="n">
        <x:f>H994*I994*(1-J994)</x:f>
        <x:v>12546</x:v>
      </x:c>
      <x:c r="L994" s="11" t="n">
        <x:f>H994*(I994*0.62)</x:f>
        <x:v>9151.199999999999</x:v>
      </x:c>
      <x:c r="M994" s="11" t="n">
        <x:f>K994-L994</x:f>
        <x:v>3394.800000000001</x:v>
      </x:c>
      <x:c r="N994" s="8" t="str">
        <x:v>Partner</x:v>
      </x:c>
      <x:c r="O994" s="8" t="str">
        <x:v>Invoice</x:v>
      </x:c>
      <x:c r="P994" s="8" t="str">
        <x:v>Shipped</x:v>
      </x:c>
    </x:row>
    <x:row r="995">
      <x:c r="A995" s="8" t="str">
        <x:v>ORD-2025994</x:v>
      </x:c>
      <x:c r="B995" s="9" t="n">
        <x:v>45797</x:v>
      </x:c>
      <x:c r="C995" s="8" t="str">
        <x:v>North</x:v>
      </x:c>
      <x:c r="D995" s="8" t="str">
        <x:v>Mason Lee</x:v>
      </x:c>
      <x:c r="E995" s="8" t="str">
        <x:v>SilverLine LLC</x:v>
      </x:c>
      <x:c r="F995" s="8" t="str">
        <x:v>Accessories</x:v>
      </x:c>
      <x:c r="G995" s="8" t="str">
        <x:v>Keyboard Pro</x:v>
      </x:c>
      <x:c r="H995" s="10" t="n">
        <x:v>5</x:v>
      </x:c>
      <x:c r="I995" s="11" t="n">
        <x:v>95</x:v>
      </x:c>
      <x:c r="J995" s="12" t="n">
        <x:v>0.15</x:v>
      </x:c>
      <x:c r="K995" s="11" t="n">
        <x:f>H995*I995*(1-J995)</x:f>
        <x:v>403.75</x:v>
      </x:c>
      <x:c r="L995" s="11" t="n">
        <x:f>H995*(I995*0.62)</x:f>
        <x:v>294.5</x:v>
      </x:c>
      <x:c r="M995" s="11" t="n">
        <x:f>K995-L995</x:f>
        <x:v>109.25</x:v>
      </x:c>
      <x:c r="N995" s="8" t="str">
        <x:v>Direct</x:v>
      </x:c>
      <x:c r="O995" s="8" t="str">
        <x:v>PayPal</x:v>
      </x:c>
      <x:c r="P995" s="8" t="str">
        <x:v>Shipped</x:v>
      </x:c>
    </x:row>
    <x:row r="996">
      <x:c r="A996" s="8" t="str">
        <x:v>ORD-2025995</x:v>
      </x:c>
      <x:c r="B996" s="9" t="n">
        <x:v>45752</x:v>
      </x:c>
      <x:c r="C996" s="8" t="str">
        <x:v>Central</x:v>
      </x:c>
      <x:c r="D996" s="8" t="str">
        <x:v>Emma Martin</x:v>
      </x:c>
      <x:c r="E996" s="8" t="str">
        <x:v>BlueSky Inc</x:v>
      </x:c>
      <x:c r="F996" s="8" t="str">
        <x:v>Hardware</x:v>
      </x:c>
      <x:c r="G996" s="8" t="str">
        <x:v>Monitor 27</x:v>
      </x:c>
      <x:c r="H996" s="10" t="n">
        <x:v>23</x:v>
      </x:c>
      <x:c r="I996" s="11" t="n">
        <x:v>320</x:v>
      </x:c>
      <x:c r="J996" s="12" t="n">
        <x:v>0.05</x:v>
      </x:c>
      <x:c r="K996" s="11" t="n">
        <x:f>H996*I996*(1-J996)</x:f>
        <x:v>6992</x:v>
      </x:c>
      <x:c r="L996" s="11" t="n">
        <x:f>H996*(I996*0.62)</x:f>
        <x:v>4563.2</x:v>
      </x:c>
      <x:c r="M996" s="11" t="n">
        <x:f>K996-L996</x:f>
        <x:v>2428.8</x:v>
      </x:c>
      <x:c r="N996" s="8" t="str">
        <x:v>Partner</x:v>
      </x:c>
      <x:c r="O996" s="8" t="str">
        <x:v>Invoice</x:v>
      </x:c>
      <x:c r="P996" s="8" t="str">
        <x:v>Shipped</x:v>
      </x:c>
    </x:row>
    <x:row r="997">
      <x:c r="A997" s="8" t="str">
        <x:v>ORD-2025996</x:v>
      </x:c>
      <x:c r="B997" s="9" t="n">
        <x:v>45742</x:v>
      </x:c>
      <x:c r="C997" s="8" t="str">
        <x:v>North</x:v>
      </x:c>
      <x:c r="D997" s="8" t="str">
        <x:v>Sophia Kim</x:v>
      </x:c>
      <x:c r="E997" s="8" t="str">
        <x:v>RedStone Co</x:v>
      </x:c>
      <x:c r="F997" s="8" t="str">
        <x:v>Accessories</x:v>
      </x:c>
      <x:c r="G997" s="8" t="str">
        <x:v>Headset</x:v>
      </x:c>
      <x:c r="H997" s="10" t="n">
        <x:v>7</x:v>
      </x:c>
      <x:c r="I997" s="11" t="n">
        <x:v>85</x:v>
      </x:c>
      <x:c r="J997" s="12" t="n">
        <x:v>0</x:v>
      </x:c>
      <x:c r="K997" s="11" t="n">
        <x:f>H997*I997*(1-J997)</x:f>
        <x:v>595</x:v>
      </x:c>
      <x:c r="L997" s="11" t="n">
        <x:f>H997*(I997*0.62)</x:f>
        <x:v>368.90000000000003</x:v>
      </x:c>
      <x:c r="M997" s="11" t="n">
        <x:f>K997-L997</x:f>
        <x:v>226.09999999999997</x:v>
      </x:c>
      <x:c r="N997" s="8" t="str">
        <x:v>Direct</x:v>
      </x:c>
      <x:c r="O997" s="8" t="str">
        <x:v>Credit Card</x:v>
      </x:c>
      <x:c r="P997" s="8" t="str">
        <x:v>Closed Won</x:v>
      </x:c>
    </x:row>
    <x:row r="998">
      <x:c r="A998" s="8" t="str">
        <x:v>ORD-2025997</x:v>
      </x:c>
      <x:c r="B998" s="9" t="n">
        <x:v>45780</x:v>
      </x:c>
      <x:c r="C998" s="8" t="str">
        <x:v>East</x:v>
      </x:c>
      <x:c r="D998" s="8" t="str">
        <x:v>Noah Davis</x:v>
      </x:c>
      <x:c r="E998" s="8" t="str">
        <x:v>Maple Inc</x:v>
      </x:c>
      <x:c r="F998" s="8" t="str">
        <x:v>Services</x:v>
      </x:c>
      <x:c r="G998" s="8" t="str">
        <x:v>Implementation</x:v>
      </x:c>
      <x:c r="H998" s="10" t="n">
        <x:v>4</x:v>
      </x:c>
      <x:c r="I998" s="11" t="n">
        <x:v>2500</x:v>
      </x:c>
      <x:c r="J998" s="12" t="n">
        <x:v>0</x:v>
      </x:c>
      <x:c r="K998" s="11" t="n">
        <x:f>H998*I998*(1-J998)</x:f>
        <x:v>10000</x:v>
      </x:c>
      <x:c r="L998" s="11" t="n">
        <x:f>H998*(I998*0.62)</x:f>
        <x:v>6200</x:v>
      </x:c>
      <x:c r="M998" s="11" t="n">
        <x:f>K998-L998</x:f>
        <x:v>3800</x:v>
      </x:c>
      <x:c r="N998" s="8" t="str">
        <x:v>Direct</x:v>
      </x:c>
      <x:c r="O998" s="8" t="str">
        <x:v>Credit Card</x:v>
      </x:c>
      <x:c r="P998" s="8" t="str">
        <x:v>Shipped</x:v>
      </x:c>
    </x:row>
    <x:row r="999">
      <x:c r="A999" s="8" t="str">
        <x:v>ORD-2025998</x:v>
      </x:c>
      <x:c r="B999" s="9" t="n">
        <x:v>45940</x:v>
      </x:c>
      <x:c r="C999" s="8" t="str">
        <x:v>South</x:v>
      </x:c>
      <x:c r="D999" s="8" t="str">
        <x:v>Ava Patel</x:v>
      </x:c>
      <x:c r="E999" s="8" t="str">
        <x:v>Cedar Co</x:v>
      </x:c>
      <x:c r="F999" s="8" t="str">
        <x:v>Services</x:v>
      </x:c>
      <x:c r="G999" s="8" t="str">
        <x:v>Training</x:v>
      </x:c>
      <x:c r="H999" s="10" t="n">
        <x:v>9</x:v>
      </x:c>
      <x:c r="I999" s="11" t="n">
        <x:v>900</x:v>
      </x:c>
      <x:c r="J999" s="12" t="n">
        <x:v>0</x:v>
      </x:c>
      <x:c r="K999" s="11" t="n">
        <x:f>H999*I999*(1-J999)</x:f>
        <x:v>8100</x:v>
      </x:c>
      <x:c r="L999" s="11" t="n">
        <x:f>H999*(I999*0.62)</x:f>
        <x:v>5022</x:v>
      </x:c>
      <x:c r="M999" s="11" t="n">
        <x:f>K999-L999</x:f>
        <x:v>3078</x:v>
      </x:c>
      <x:c r="N999" s="8" t="str">
        <x:v>Online</x:v>
      </x:c>
      <x:c r="O999" s="8" t="str">
        <x:v>Credit Card</x:v>
      </x:c>
      <x:c r="P999" s="8" t="str">
        <x:v>Shipped</x:v>
      </x:c>
    </x:row>
    <x:row r="1000">
      <x:c r="A1000" s="8" t="str">
        <x:v>ORD-2025999</x:v>
      </x:c>
      <x:c r="B1000" s="9" t="n">
        <x:v>45682</x:v>
      </x:c>
      <x:c r="C1000" s="8" t="str">
        <x:v>East</x:v>
      </x:c>
      <x:c r="D1000" s="8" t="str">
        <x:v>Liam Chen</x:v>
      </x:c>
      <x:c r="E1000" s="8" t="str">
        <x:v>Vertex Group</x:v>
      </x:c>
      <x:c r="F1000" s="8" t="str">
        <x:v>Accessories</x:v>
      </x:c>
      <x:c r="G1000" s="8" t="str">
        <x:v>Wireless Mouse</x:v>
      </x:c>
      <x:c r="H1000" s="10" t="n">
        <x:v>1</x:v>
      </x:c>
      <x:c r="I1000" s="11" t="n">
        <x:v>40</x:v>
      </x:c>
      <x:c r="J1000" s="12" t="n">
        <x:v>0</x:v>
      </x:c>
      <x:c r="K1000" s="11" t="n">
        <x:f>H1000*I1000*(1-J1000)</x:f>
        <x:v>40</x:v>
      </x:c>
      <x:c r="L1000" s="11" t="n">
        <x:f>H1000*(I1000*0.62)</x:f>
        <x:v>24.8</x:v>
      </x:c>
      <x:c r="M1000" s="11" t="n">
        <x:f>K1000-L1000</x:f>
        <x:v>15.2</x:v>
      </x:c>
      <x:c r="N1000" s="8" t="str">
        <x:v>Partner</x:v>
      </x:c>
      <x:c r="O1000" s="8" t="str">
        <x:v>PayPal</x:v>
      </x:c>
      <x:c r="P1000" s="8" t="str">
        <x:v>Pending</x:v>
      </x:c>
    </x:row>
    <x:row r="1001">
      <x:c r="A1001" s="8" t="str">
        <x:v>ORD-2026000</x:v>
      </x:c>
      <x:c r="B1001" s="9" t="n">
        <x:v>45840</x:v>
      </x:c>
      <x:c r="C1001" s="8" t="str">
        <x:v>South</x:v>
      </x:c>
      <x:c r="D1001" s="8" t="str">
        <x:v>Liam Chen</x:v>
      </x:c>
      <x:c r="E1001" s="8" t="str">
        <x:v>BrightPath Co</x:v>
      </x:c>
      <x:c r="F1001" s="8" t="str">
        <x:v>Services</x:v>
      </x:c>
      <x:c r="G1001" s="8" t="str">
        <x:v>Consulting Day</x:v>
      </x:c>
      <x:c r="H1001" s="10" t="n">
        <x:v>14</x:v>
      </x:c>
      <x:c r="I1001" s="11" t="n">
        <x:v>1400</x:v>
      </x:c>
      <x:c r="J1001" s="12" t="n">
        <x:v>0.15</x:v>
      </x:c>
      <x:c r="K1001" s="11" t="n">
        <x:f>H1001*I1001*(1-J1001)</x:f>
        <x:v>16660</x:v>
      </x:c>
      <x:c r="L1001" s="11" t="n">
        <x:f>H1001*(I1001*0.62)</x:f>
        <x:v>12152</x:v>
      </x:c>
      <x:c r="M1001" s="11" t="n">
        <x:f>K1001-L1001</x:f>
        <x:v>4508</x:v>
      </x:c>
      <x:c r="N1001" s="8" t="str">
        <x:v>Online</x:v>
      </x:c>
      <x:c r="O1001" s="8" t="str">
        <x:v>Credit Card</x:v>
      </x:c>
      <x:c r="P1001" s="8" t="str">
        <x:v>Pending</x:v>
      </x:c>
    </x:row>
  </x:sheetData>
  <x:conditionalFormatting sqref="K2:K1001">
    <x:cfRule type="dataBar" priority="1">
      <x:dataBar>
        <x:cfvo type="min"/>
        <x:cfvo type="max"/>
        <x:color rgb="FF196B24"/>
      </x:dataBar>
    </x:cfRule>
  </x:conditionalFormatting>
  <x:conditionalFormatting sqref="M2:M1001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P2:P1001">
    <x:cfRule type="expression" dxfId="0" priority="3">
      <x:formula>P2="Cancelled"</x:formula>
    </x:cfRule>
    <x:cfRule type="expression" dxfId="1" priority="4">
      <x:formula>P2="Returned"</x:formula>
    </x:cfRule>
  </x:conditionalFormatting>
  <x:dataValidations count="5">
    <x:dataValidation type="list" sqref="C2:C1001">
      <x:formula1>Lists!$A$2:$A$6</x:formula1>
    </x:dataValidation>
    <x:dataValidation type="list" sqref="D2:D1001">
      <x:formula1>Lists!$B$2:$B$11</x:formula1>
    </x:dataValidation>
    <x:dataValidation type="list" sqref="N2:N1001">
      <x:formula1>Lists!$C$2:$C$4</x:formula1>
    </x:dataValidation>
    <x:dataValidation type="list" sqref="O2:O1001">
      <x:formula1>Lists!$D$2:$D$5</x:formula1>
    </x:dataValidation>
    <x:dataValidation type="list" sqref="P2:P1001">
      <x:formula1>Lists!$E$2:$E$6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75eabc90ee4a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Regions</x:v>
      </x:c>
      <x:c r="B1" s="3" t="str">
        <x:v>Sales Reps</x:v>
      </x:c>
      <x:c r="C1" s="3" t="str">
        <x:v>Channels</x:v>
      </x:c>
      <x:c r="D1" s="3" t="str">
        <x:v>Payment Methods</x:v>
      </x:c>
      <x:c r="E1" s="3" t="str">
        <x:v>Statuses</x:v>
      </x:c>
      <x:c r="F1" s="3" t="str">
        <x:v>Category</x:v>
      </x:c>
      <x:c r="G1" s="3" t="str">
        <x:v>Products</x:v>
      </x:c>
    </x:row>
    <x:row r="2">
      <x:c r="A2" t="str">
        <x:v>North</x:v>
      </x:c>
      <x:c r="B2" t="str">
        <x:v>Ava Patel</x:v>
      </x:c>
      <x:c r="C2" t="str">
        <x:v>Direct</x:v>
      </x:c>
      <x:c r="D2" t="str">
        <x:v>Credit Card</x:v>
      </x:c>
      <x:c r="E2" t="str">
        <x:v>Closed Won</x:v>
      </x:c>
      <x:c r="F2" t="str">
        <x:v>Software</x:v>
      </x:c>
      <x:c r="G2" t="str">
        <x:v>CRM Pro</x:v>
      </x:c>
    </x:row>
    <x:row r="3">
      <x:c r="A3" t="str">
        <x:v>South</x:v>
      </x:c>
      <x:c r="B3" t="str">
        <x:v>Liam Chen</x:v>
      </x:c>
      <x:c r="C3" t="str">
        <x:v>Partner</x:v>
      </x:c>
      <x:c r="D3" t="str">
        <x:v>Bank Transfer</x:v>
      </x:c>
      <x:c r="E3" t="str">
        <x:v>Pending</x:v>
      </x:c>
      <x:c r="F3" t="str">
        <x:v>Hardware</x:v>
      </x:c>
      <x:c r="G3" t="str">
        <x:v>Analytics Cloud</x:v>
      </x:c>
    </x:row>
    <x:row r="4">
      <x:c r="A4" t="str">
        <x:v>East</x:v>
      </x:c>
      <x:c r="B4" t="str">
        <x:v>Noah Davis</x:v>
      </x:c>
      <x:c r="C4" t="str">
        <x:v>Online</x:v>
      </x:c>
      <x:c r="D4" t="str">
        <x:v>Invoice</x:v>
      </x:c>
      <x:c r="E4" t="str">
        <x:v>Shipped</x:v>
      </x:c>
      <x:c r="F4" t="str">
        <x:v>Services</x:v>
      </x:c>
      <x:c r="G4" t="str">
        <x:v>HR Suite</x:v>
      </x:c>
    </x:row>
    <x:row r="5">
      <x:c r="A5" t="str">
        <x:v>West</x:v>
      </x:c>
      <x:c r="B5" t="str">
        <x:v>Mia Johnson</x:v>
      </x:c>
      <x:c r="C5"/>
      <x:c r="D5" t="str">
        <x:v>PayPal</x:v>
      </x:c>
      <x:c r="E5" t="str">
        <x:v>Returned</x:v>
      </x:c>
      <x:c r="F5" t="str">
        <x:v>Accessories</x:v>
      </x:c>
      <x:c r="G5" t="str">
        <x:v>ProjectFlow</x:v>
      </x:c>
    </x:row>
    <x:row r="6">
      <x:c r="A6" t="str">
        <x:v>Central</x:v>
      </x:c>
      <x:c r="B6" t="str">
        <x:v>Ethan Garcia</x:v>
      </x:c>
      <x:c r="C6"/>
      <x:c r="D6"/>
      <x:c r="E6" t="str">
        <x:v>Cancelled</x:v>
      </x:c>
      <x:c r="F6"/>
      <x:c r="G6" t="str">
        <x:v>Laptop X</x:v>
      </x:c>
    </x:row>
    <x:row r="7">
      <x:c r="A7"/>
      <x:c r="B7" t="str">
        <x:v>Sophia Kim</x:v>
      </x:c>
      <x:c r="C7"/>
      <x:c r="D7"/>
      <x:c r="E7"/>
      <x:c r="F7"/>
      <x:c r="G7" t="str">
        <x:v>Tablet Air</x:v>
      </x:c>
    </x:row>
    <x:row r="8">
      <x:c r="A8"/>
      <x:c r="B8" t="str">
        <x:v>Lucas Brown</x:v>
      </x:c>
      <x:c r="C8"/>
      <x:c r="D8"/>
      <x:c r="E8"/>
      <x:c r="F8"/>
      <x:c r="G8" t="str">
        <x:v>Dock Station</x:v>
      </x:c>
    </x:row>
    <x:row r="9">
      <x:c r="A9"/>
      <x:c r="B9" t="str">
        <x:v>Olivia Wilson</x:v>
      </x:c>
      <x:c r="C9"/>
      <x:c r="D9"/>
      <x:c r="E9"/>
      <x:c r="F9"/>
      <x:c r="G9" t="str">
        <x:v>Monitor 27</x:v>
      </x:c>
    </x:row>
    <x:row r="10">
      <x:c r="A10"/>
      <x:c r="B10" t="str">
        <x:v>Mason Lee</x:v>
      </x:c>
      <x:c r="C10"/>
      <x:c r="D10"/>
      <x:c r="E10"/>
      <x:c r="F10"/>
      <x:c r="G10" t="str">
        <x:v>Implementation</x:v>
      </x:c>
    </x:row>
    <x:row r="11">
      <x:c r="A11"/>
      <x:c r="B11" t="str">
        <x:v>Emma Martin</x:v>
      </x:c>
      <x:c r="C11"/>
      <x:c r="D11"/>
      <x:c r="E11"/>
      <x:c r="F11"/>
      <x:c r="G11" t="str">
        <x:v>Training</x:v>
      </x:c>
    </x:row>
    <x:row r="12">
      <x:c r="A12"/>
      <x:c r="B12"/>
      <x:c r="C12"/>
      <x:c r="D12"/>
      <x:c r="E12"/>
      <x:c r="F12"/>
      <x:c r="G12" t="str">
        <x:v>Support Plus</x:v>
      </x:c>
    </x:row>
    <x:row r="13">
      <x:c r="A13"/>
      <x:c r="B13"/>
      <x:c r="C13"/>
      <x:c r="D13"/>
      <x:c r="E13"/>
      <x:c r="F13"/>
      <x:c r="G13" t="str">
        <x:v>Consulting Day</x:v>
      </x:c>
    </x:row>
    <x:row r="14">
      <x:c r="A14"/>
      <x:c r="B14"/>
      <x:c r="C14"/>
      <x:c r="D14"/>
      <x:c r="E14"/>
      <x:c r="F14"/>
      <x:c r="G14" t="str">
        <x:v>Wireless Mouse</x:v>
      </x:c>
    </x:row>
    <x:row r="15">
      <x:c r="A15"/>
      <x:c r="B15"/>
      <x:c r="C15"/>
      <x:c r="D15"/>
      <x:c r="E15"/>
      <x:c r="F15"/>
      <x:c r="G15" t="str">
        <x:v>Keyboard Pro</x:v>
      </x:c>
    </x:row>
    <x:row r="16">
      <x:c r="A16"/>
      <x:c r="B16"/>
      <x:c r="C16"/>
      <x:c r="D16"/>
      <x:c r="E16"/>
      <x:c r="F16"/>
      <x:c r="G16" t="str">
        <x:v>Webcam HD</x:v>
      </x:c>
    </x:row>
    <x:row r="17">
      <x:c r="A17"/>
      <x:c r="B17"/>
      <x:c r="C17"/>
      <x:c r="D17"/>
      <x:c r="E17"/>
      <x:c r="F17"/>
      <x:c r="G17" t="str">
        <x:v>Headset</x:v>
      </x:c>
    </x:row>
  </x:sheetData>
  <x:pageMargins left="0.7" right="0.7" top="0.75" bottom="0.75" header="0.3" footer="0.3"/>
</x:worksheet>
</file>