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Tracker" sheetId="1" state="visible" r:id="rId3"/>
    <sheet name="Milesto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<sst xmlns="http://schemas.openxmlformats.org/spreadsheetml/2006/main" count="199" uniqueCount="127">
  <si>
    <t xml:space="preserve">Project &amp; Operations Tracker — FY 2025</t>
  </si>
  <si>
    <t xml:space="preserve">Project Name</t>
  </si>
  <si>
    <t xml:space="preserve">Owner</t>
  </si>
  <si>
    <t xml:space="preserve">Department</t>
  </si>
  <si>
    <t xml:space="preserve">Phase</t>
  </si>
  <si>
    <t xml:space="preserve">Start Date</t>
  </si>
  <si>
    <t xml:space="preserve">Due Date</t>
  </si>
  <si>
    <t xml:space="preserve">% Complete</t>
  </si>
  <si>
    <t xml:space="preserve">Status</t>
  </si>
  <si>
    <t xml:space="preserve">Budget ($)</t>
  </si>
  <si>
    <t xml:space="preserve">Spent ($)</t>
  </si>
  <si>
    <t xml:space="preserve">Variance ($)</t>
  </si>
  <si>
    <t xml:space="preserve">Notes</t>
  </si>
  <si>
    <t xml:space="preserve">CRM Migration</t>
  </si>
  <si>
    <t xml:space="preserve">Sarah Chen</t>
  </si>
  <si>
    <t xml:space="preserve">IT</t>
  </si>
  <si>
    <t xml:space="preserve">Execution</t>
  </si>
  <si>
    <t xml:space="preserve">2025-01-06</t>
  </si>
  <si>
    <t xml:space="preserve">2025-06-30</t>
  </si>
  <si>
    <t xml:space="preserve">On Track</t>
  </si>
  <si>
    <t xml:space="preserve">Phase 2 kick-off complete</t>
  </si>
  <si>
    <t xml:space="preserve">Brand Refresh</t>
  </si>
  <si>
    <t xml:space="preserve">Mike Torres</t>
  </si>
  <si>
    <t xml:space="preserve">Marketing</t>
  </si>
  <si>
    <t xml:space="preserve">Planning</t>
  </si>
  <si>
    <t xml:space="preserve">2025-02-03</t>
  </si>
  <si>
    <t xml:space="preserve">2025-05-31</t>
  </si>
  <si>
    <t xml:space="preserve">Agency brief approved</t>
  </si>
  <si>
    <t xml:space="preserve">ERP Upgrade</t>
  </si>
  <si>
    <t xml:space="preserve">Lisa Park</t>
  </si>
  <si>
    <t xml:space="preserve">Finance</t>
  </si>
  <si>
    <t xml:space="preserve">Discovery</t>
  </si>
  <si>
    <t xml:space="preserve">2025-01-13</t>
  </si>
  <si>
    <t xml:space="preserve">2025-09-30</t>
  </si>
  <si>
    <t xml:space="preserve">At Risk</t>
  </si>
  <si>
    <t xml:space="preserve">Vendor selection delayed</t>
  </si>
  <si>
    <t xml:space="preserve">Hiring — Eng (×12)</t>
  </si>
  <si>
    <t xml:space="preserve">Tom Reed</t>
  </si>
  <si>
    <t xml:space="preserve">HR</t>
  </si>
  <si>
    <t xml:space="preserve">2025-07-31</t>
  </si>
  <si>
    <t xml:space="preserve">8 of 12 roles filled</t>
  </si>
  <si>
    <t xml:space="preserve">Salesforce CPQ</t>
  </si>
  <si>
    <t xml:space="preserve">Amy Johnson</t>
  </si>
  <si>
    <t xml:space="preserve">Sales Ops</t>
  </si>
  <si>
    <t xml:space="preserve">Testing</t>
  </si>
  <si>
    <t xml:space="preserve">2024-11-04</t>
  </si>
  <si>
    <t xml:space="preserve">2025-04-30</t>
  </si>
  <si>
    <t xml:space="preserve">UAT sign-off pending</t>
  </si>
  <si>
    <t xml:space="preserve">Data Warehouse v2</t>
  </si>
  <si>
    <t xml:space="preserve">Carlos Ruiz</t>
  </si>
  <si>
    <t xml:space="preserve">Engineering</t>
  </si>
  <si>
    <t xml:space="preserve">2025-01-20</t>
  </si>
  <si>
    <t xml:space="preserve">2025-08-31</t>
  </si>
  <si>
    <t xml:space="preserve">Snowflake migration in progress</t>
  </si>
  <si>
    <t xml:space="preserve">Office Expansion</t>
  </si>
  <si>
    <t xml:space="preserve">Dana White</t>
  </si>
  <si>
    <t xml:space="preserve">Facilities</t>
  </si>
  <si>
    <t xml:space="preserve">2025-03-03</t>
  </si>
  <si>
    <t xml:space="preserve">2025-12-31</t>
  </si>
  <si>
    <t xml:space="preserve">Permits submitted</t>
  </si>
  <si>
    <t xml:space="preserve">SOC 2 Certification</t>
  </si>
  <si>
    <t xml:space="preserve">James Lee</t>
  </si>
  <si>
    <t xml:space="preserve">Security</t>
  </si>
  <si>
    <t xml:space="preserve">2025-07-15</t>
  </si>
  <si>
    <t xml:space="preserve">Audit fieldwork started</t>
  </si>
  <si>
    <t xml:space="preserve">Mobile App — v3</t>
  </si>
  <si>
    <t xml:space="preserve">Priya Patel</t>
  </si>
  <si>
    <t xml:space="preserve">Product</t>
  </si>
  <si>
    <t xml:space="preserve">Build</t>
  </si>
  <si>
    <t xml:space="preserve">Backend API blocked</t>
  </si>
  <si>
    <t xml:space="preserve">Partner Portal</t>
  </si>
  <si>
    <t xml:space="preserve">Ryan Kim</t>
  </si>
  <si>
    <t xml:space="preserve">Design</t>
  </si>
  <si>
    <t xml:space="preserve">2025-10-31</t>
  </si>
  <si>
    <t xml:space="preserve">UX wireframes in review</t>
  </si>
  <si>
    <t xml:space="preserve">GDPR Remediation</t>
  </si>
  <si>
    <t xml:space="preserve">Elena Vasquez</t>
  </si>
  <si>
    <t xml:space="preserve">Legal</t>
  </si>
  <si>
    <t xml:space="preserve">DPA updates complete</t>
  </si>
  <si>
    <t xml:space="preserve">Supply Chain Audit</t>
  </si>
  <si>
    <t xml:space="preserve">Ben Foster</t>
  </si>
  <si>
    <t xml:space="preserve">Operations</t>
  </si>
  <si>
    <t xml:space="preserve">Complete</t>
  </si>
  <si>
    <t xml:space="preserve">2025-03-31</t>
  </si>
  <si>
    <t xml:space="preserve">Report delivered</t>
  </si>
  <si>
    <t xml:space="preserve">Content Platform</t>
  </si>
  <si>
    <t xml:space="preserve">Sophie Grant</t>
  </si>
  <si>
    <t xml:space="preserve">2025-04-01</t>
  </si>
  <si>
    <t xml:space="preserve">2025-11-30</t>
  </si>
  <si>
    <t xml:space="preserve">Not Started</t>
  </si>
  <si>
    <t xml:space="preserve">Kick-off scheduled Apr 14</t>
  </si>
  <si>
    <t xml:space="preserve">BI Dashboard Rollout</t>
  </si>
  <si>
    <t xml:space="preserve">Derek Nguyen</t>
  </si>
  <si>
    <t xml:space="preserve">Analytics</t>
  </si>
  <si>
    <t xml:space="preserve">2025-02-10</t>
  </si>
  <si>
    <t xml:space="preserve">Exec dashboard live</t>
  </si>
  <si>
    <t xml:space="preserve">Customer Success Tool</t>
  </si>
  <si>
    <t xml:space="preserve">Mia Thornton</t>
  </si>
  <si>
    <t xml:space="preserve">CS</t>
  </si>
  <si>
    <t xml:space="preserve">Integration partner issues</t>
  </si>
  <si>
    <t xml:space="preserve">TOTALS</t>
  </si>
  <si>
    <t xml:space="preserve">Key Milestones — Q1–Q2 2025</t>
  </si>
  <si>
    <t xml:space="preserve">Milestone</t>
  </si>
  <si>
    <t xml:space="preserve">Project</t>
  </si>
  <si>
    <t xml:space="preserve">Target Date</t>
  </si>
  <si>
    <t xml:space="preserve">Actual Date</t>
  </si>
  <si>
    <t xml:space="preserve">CRM Phase 1 Go-Live</t>
  </si>
  <si>
    <t xml:space="preserve">2025-02-28</t>
  </si>
  <si>
    <t xml:space="preserve">2025-02-26</t>
  </si>
  <si>
    <t xml:space="preserve">Two days early</t>
  </si>
  <si>
    <t xml:space="preserve">Brand Concept Approval</t>
  </si>
  <si>
    <t xml:space="preserve">2025-03-15</t>
  </si>
  <si>
    <t xml:space="preserve">ERP Vendor Selected</t>
  </si>
  <si>
    <t xml:space="preserve">Delayed by 3 weeks</t>
  </si>
  <si>
    <t xml:space="preserve">Q1 Hiring Goal (6 roles)</t>
  </si>
  <si>
    <t xml:space="preserve">2025-03-28</t>
  </si>
  <si>
    <t xml:space="preserve">CPQ UAT Sign-Off</t>
  </si>
  <si>
    <t xml:space="preserve">2025-04-15</t>
  </si>
  <si>
    <t xml:space="preserve">DWH Dev Complete</t>
  </si>
  <si>
    <t xml:space="preserve">SOC 2 Audit Complete</t>
  </si>
  <si>
    <t xml:space="preserve">2025-06-01</t>
  </si>
  <si>
    <t xml:space="preserve">Mobile Beta Release</t>
  </si>
  <si>
    <t xml:space="preserve">2025-05-15</t>
  </si>
  <si>
    <t xml:space="preserve">API blocker risk</t>
  </si>
  <si>
    <t xml:space="preserve">GDPR Remediation Done</t>
  </si>
  <si>
    <t xml:space="preserve">Supply Chain Report</t>
  </si>
  <si>
    <t xml:space="preserve">Report delivered early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</si>
</sst>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%"/>
    <numFmt numFmtId="167" formatCode="\$#,##0;&quot;($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A84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11111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A84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A84FF"/>
        <bgColor rgb="FF3366FF"/>
      </patternFill>
    </fill>
    <fill>
      <patternFill patternType="solid">
        <fgColor rgb="FFFFFFFF"/>
        <bgColor rgb="FFF5F7FA"/>
      </patternFill>
    </fill>
    <fill>
      <patternFill patternType="solid">
        <fgColor rgb="FFD1FAE5"/>
        <bgColor rgb="FFDBEAFE"/>
      </patternFill>
    </fill>
    <fill>
      <patternFill patternType="solid">
        <fgColor rgb="FFF5F7FA"/>
        <bgColor rgb="FFF3F4F6"/>
      </patternFill>
    </fill>
    <fill>
      <patternFill patternType="solid">
        <fgColor rgb="FFFEE2E2"/>
        <bgColor rgb="FFF3F4F6"/>
      </patternFill>
    </fill>
    <fill>
      <patternFill patternType="solid">
        <fgColor rgb="FFDBEAFE"/>
        <bgColor rgb="FFEBF4FF"/>
      </patternFill>
    </fill>
    <fill>
      <patternFill patternType="solid">
        <fgColor rgb="FFF3F4F6"/>
        <bgColor rgb="FFF5F7FA"/>
      </patternFill>
    </fill>
    <fill>
      <patternFill patternType="solid">
        <fgColor rgb="FFEBF4FF"/>
        <bgColor rgb="FFF3F4F6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FFFFFF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 style="thin">
        <color rgb="FFD1D5DB"/>
      </right>
      <top style="medium">
        <color rgb="FF0A84FF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7FA"/>
      <rgbColor rgb="FFDBEAFE"/>
      <rgbColor rgb="FF660066"/>
      <rgbColor rgb="FFFF8080"/>
      <rgbColor rgb="FF0A84FF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4FF"/>
      <rgbColor rgb="FFD1FAE5"/>
      <rgbColor rgb="FFF3F4F6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1" min="9" style="0" width="14"/>
    <col collapsed="false" customWidth="true" hidden="false" outlineLevel="0" max="12" min="12" style="0" width="30"/>
  </cols>
  <sheetData>
    <row r="1" customFormat="false" ht="1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15" hidden="false" customHeight="false" outlineLevel="0" collapsed="false">
      <c r="A3" s="3" t="s">
        <v>13</v>
      </c>
      <c r="B3" s="4" t="s">
        <v>14</v>
      </c>
      <c r="C3" s="4" t="s">
        <v>15</v>
      </c>
      <c r="D3" s="5" t="s">
        <v>16</v>
      </c>
      <c r="E3" s="6" t="s">
        <v>17</v>
      </c>
      <c r="F3" s="6" t="s">
        <v>18</v>
      </c>
      <c r="G3" s="7" t="n">
        <v>0.58</v>
      </c>
      <c r="H3" s="8" t="s">
        <v>19</v>
      </c>
      <c r="I3" s="9" t="n">
        <v>450000</v>
      </c>
      <c r="J3" s="9" t="n">
        <v>261000</v>
      </c>
      <c r="K3" s="10" t="n">
        <f aca="false">I3-J3</f>
        <v>189000</v>
      </c>
      <c r="L3" s="4" t="s">
        <v>20</v>
      </c>
    </row>
    <row r="4" customFormat="false" ht="15" hidden="false" customHeight="false" outlineLevel="0" collapsed="false">
      <c r="A4" s="11" t="s">
        <v>21</v>
      </c>
      <c r="B4" s="12" t="s">
        <v>22</v>
      </c>
      <c r="C4" s="12" t="s">
        <v>23</v>
      </c>
      <c r="D4" s="13" t="s">
        <v>24</v>
      </c>
      <c r="E4" s="14" t="s">
        <v>25</v>
      </c>
      <c r="F4" s="14" t="s">
        <v>26</v>
      </c>
      <c r="G4" s="15" t="n">
        <v>0.25</v>
      </c>
      <c r="H4" s="8" t="s">
        <v>19</v>
      </c>
      <c r="I4" s="16" t="n">
        <v>120000</v>
      </c>
      <c r="J4" s="16" t="n">
        <v>30000</v>
      </c>
      <c r="K4" s="17" t="n">
        <f aca="false">I4-J4</f>
        <v>90000</v>
      </c>
      <c r="L4" s="12" t="s">
        <v>27</v>
      </c>
    </row>
    <row r="5" customFormat="false" ht="15" hidden="false" customHeight="false" outlineLevel="0" collapsed="false">
      <c r="A5" s="3" t="s">
        <v>28</v>
      </c>
      <c r="B5" s="4" t="s">
        <v>29</v>
      </c>
      <c r="C5" s="4" t="s">
        <v>30</v>
      </c>
      <c r="D5" s="5" t="s">
        <v>31</v>
      </c>
      <c r="E5" s="6" t="s">
        <v>32</v>
      </c>
      <c r="F5" s="6" t="s">
        <v>33</v>
      </c>
      <c r="G5" s="7" t="n">
        <v>0.1</v>
      </c>
      <c r="H5" s="18" t="s">
        <v>34</v>
      </c>
      <c r="I5" s="9" t="n">
        <v>980000</v>
      </c>
      <c r="J5" s="9" t="n">
        <v>98000</v>
      </c>
      <c r="K5" s="10" t="n">
        <f aca="false">I5-J5</f>
        <v>882000</v>
      </c>
      <c r="L5" s="4" t="s">
        <v>35</v>
      </c>
    </row>
    <row r="6" customFormat="false" ht="15" hidden="false" customHeight="false" outlineLevel="0" collapsed="false">
      <c r="A6" s="11" t="s">
        <v>36</v>
      </c>
      <c r="B6" s="12" t="s">
        <v>37</v>
      </c>
      <c r="C6" s="12" t="s">
        <v>38</v>
      </c>
      <c r="D6" s="13" t="s">
        <v>16</v>
      </c>
      <c r="E6" s="14" t="s">
        <v>17</v>
      </c>
      <c r="F6" s="14" t="s">
        <v>39</v>
      </c>
      <c r="G6" s="15" t="n">
        <v>0.67</v>
      </c>
      <c r="H6" s="8" t="s">
        <v>19</v>
      </c>
      <c r="I6" s="16" t="n">
        <v>240000</v>
      </c>
      <c r="J6" s="16" t="n">
        <v>160800</v>
      </c>
      <c r="K6" s="17" t="n">
        <f aca="false">I6-J6</f>
        <v>79200</v>
      </c>
      <c r="L6" s="12" t="s">
        <v>40</v>
      </c>
    </row>
    <row r="7" customFormat="false" ht="15" hidden="false" customHeight="false" outlineLevel="0" collapsed="false">
      <c r="A7" s="3" t="s">
        <v>41</v>
      </c>
      <c r="B7" s="4" t="s">
        <v>42</v>
      </c>
      <c r="C7" s="4" t="s">
        <v>43</v>
      </c>
      <c r="D7" s="5" t="s">
        <v>44</v>
      </c>
      <c r="E7" s="6" t="s">
        <v>45</v>
      </c>
      <c r="F7" s="6" t="s">
        <v>46</v>
      </c>
      <c r="G7" s="7" t="n">
        <v>0.85</v>
      </c>
      <c r="H7" s="8" t="s">
        <v>19</v>
      </c>
      <c r="I7" s="9" t="n">
        <v>310000</v>
      </c>
      <c r="J7" s="9" t="n">
        <v>263500</v>
      </c>
      <c r="K7" s="10" t="n">
        <f aca="false">I7-J7</f>
        <v>46500</v>
      </c>
      <c r="L7" s="4" t="s">
        <v>47</v>
      </c>
    </row>
    <row r="8" customFormat="false" ht="15" hidden="false" customHeight="false" outlineLevel="0" collapsed="false">
      <c r="A8" s="11" t="s">
        <v>48</v>
      </c>
      <c r="B8" s="12" t="s">
        <v>49</v>
      </c>
      <c r="C8" s="12" t="s">
        <v>50</v>
      </c>
      <c r="D8" s="13" t="s">
        <v>16</v>
      </c>
      <c r="E8" s="14" t="s">
        <v>51</v>
      </c>
      <c r="F8" s="14" t="s">
        <v>52</v>
      </c>
      <c r="G8" s="15" t="n">
        <v>0.4</v>
      </c>
      <c r="H8" s="8" t="s">
        <v>19</v>
      </c>
      <c r="I8" s="16" t="n">
        <v>620000</v>
      </c>
      <c r="J8" s="16" t="n">
        <v>248000</v>
      </c>
      <c r="K8" s="17" t="n">
        <f aca="false">I8-J8</f>
        <v>372000</v>
      </c>
      <c r="L8" s="12" t="s">
        <v>53</v>
      </c>
    </row>
    <row r="9" customFormat="false" ht="15" hidden="false" customHeight="false" outlineLevel="0" collapsed="false">
      <c r="A9" s="3" t="s">
        <v>54</v>
      </c>
      <c r="B9" s="4" t="s">
        <v>55</v>
      </c>
      <c r="C9" s="4" t="s">
        <v>56</v>
      </c>
      <c r="D9" s="5" t="s">
        <v>24</v>
      </c>
      <c r="E9" s="6" t="s">
        <v>57</v>
      </c>
      <c r="F9" s="6" t="s">
        <v>58</v>
      </c>
      <c r="G9" s="7" t="n">
        <v>0.08</v>
      </c>
      <c r="H9" s="8" t="s">
        <v>19</v>
      </c>
      <c r="I9" s="9" t="n">
        <v>750000</v>
      </c>
      <c r="J9" s="9" t="n">
        <v>60000</v>
      </c>
      <c r="K9" s="10" t="n">
        <f aca="false">I9-J9</f>
        <v>690000</v>
      </c>
      <c r="L9" s="4" t="s">
        <v>59</v>
      </c>
    </row>
    <row r="10" customFormat="false" ht="15" hidden="false" customHeight="false" outlineLevel="0" collapsed="false">
      <c r="A10" s="11" t="s">
        <v>60</v>
      </c>
      <c r="B10" s="12" t="s">
        <v>61</v>
      </c>
      <c r="C10" s="12" t="s">
        <v>62</v>
      </c>
      <c r="D10" s="13" t="s">
        <v>16</v>
      </c>
      <c r="E10" s="14" t="s">
        <v>17</v>
      </c>
      <c r="F10" s="14" t="s">
        <v>63</v>
      </c>
      <c r="G10" s="15" t="n">
        <v>0.55</v>
      </c>
      <c r="H10" s="8" t="s">
        <v>19</v>
      </c>
      <c r="I10" s="16" t="n">
        <v>180000</v>
      </c>
      <c r="J10" s="16" t="n">
        <v>99000</v>
      </c>
      <c r="K10" s="17" t="n">
        <f aca="false">I10-J10</f>
        <v>81000</v>
      </c>
      <c r="L10" s="12" t="s">
        <v>64</v>
      </c>
    </row>
    <row r="11" customFormat="false" ht="15" hidden="false" customHeight="false" outlineLevel="0" collapsed="false">
      <c r="A11" s="3" t="s">
        <v>65</v>
      </c>
      <c r="B11" s="4" t="s">
        <v>66</v>
      </c>
      <c r="C11" s="4" t="s">
        <v>67</v>
      </c>
      <c r="D11" s="5" t="s">
        <v>68</v>
      </c>
      <c r="E11" s="6" t="s">
        <v>25</v>
      </c>
      <c r="F11" s="6" t="s">
        <v>52</v>
      </c>
      <c r="G11" s="7" t="n">
        <v>0.3</v>
      </c>
      <c r="H11" s="18" t="s">
        <v>34</v>
      </c>
      <c r="I11" s="9" t="n">
        <v>540000</v>
      </c>
      <c r="J11" s="9" t="n">
        <v>162000</v>
      </c>
      <c r="K11" s="10" t="n">
        <f aca="false">I11-J11</f>
        <v>378000</v>
      </c>
      <c r="L11" s="4" t="s">
        <v>69</v>
      </c>
    </row>
    <row r="12" customFormat="false" ht="15" hidden="false" customHeight="false" outlineLevel="0" collapsed="false">
      <c r="A12" s="11" t="s">
        <v>70</v>
      </c>
      <c r="B12" s="12" t="s">
        <v>71</v>
      </c>
      <c r="C12" s="12" t="s">
        <v>50</v>
      </c>
      <c r="D12" s="13" t="s">
        <v>72</v>
      </c>
      <c r="E12" s="14" t="s">
        <v>57</v>
      </c>
      <c r="F12" s="14" t="s">
        <v>73</v>
      </c>
      <c r="G12" s="15" t="n">
        <v>0.15</v>
      </c>
      <c r="H12" s="8" t="s">
        <v>19</v>
      </c>
      <c r="I12" s="16" t="n">
        <v>280000</v>
      </c>
      <c r="J12" s="16" t="n">
        <v>42000</v>
      </c>
      <c r="K12" s="17" t="n">
        <f aca="false">I12-J12</f>
        <v>238000</v>
      </c>
      <c r="L12" s="12" t="s">
        <v>74</v>
      </c>
    </row>
    <row r="13" customFormat="false" ht="15" hidden="false" customHeight="false" outlineLevel="0" collapsed="false">
      <c r="A13" s="3" t="s">
        <v>75</v>
      </c>
      <c r="B13" s="4" t="s">
        <v>76</v>
      </c>
      <c r="C13" s="4" t="s">
        <v>77</v>
      </c>
      <c r="D13" s="5" t="s">
        <v>16</v>
      </c>
      <c r="E13" s="6" t="s">
        <v>32</v>
      </c>
      <c r="F13" s="6" t="s">
        <v>26</v>
      </c>
      <c r="G13" s="7" t="n">
        <v>0.7</v>
      </c>
      <c r="H13" s="8" t="s">
        <v>19</v>
      </c>
      <c r="I13" s="9" t="n">
        <v>95000</v>
      </c>
      <c r="J13" s="9" t="n">
        <v>66500</v>
      </c>
      <c r="K13" s="10" t="n">
        <f aca="false">I13-J13</f>
        <v>28500</v>
      </c>
      <c r="L13" s="4" t="s">
        <v>78</v>
      </c>
    </row>
    <row r="14" customFormat="false" ht="15" hidden="false" customHeight="false" outlineLevel="0" collapsed="false">
      <c r="A14" s="11" t="s">
        <v>79</v>
      </c>
      <c r="B14" s="12" t="s">
        <v>80</v>
      </c>
      <c r="C14" s="12" t="s">
        <v>81</v>
      </c>
      <c r="D14" s="13" t="s">
        <v>82</v>
      </c>
      <c r="E14" s="14" t="s">
        <v>17</v>
      </c>
      <c r="F14" s="14" t="s">
        <v>83</v>
      </c>
      <c r="G14" s="15" t="n">
        <v>1</v>
      </c>
      <c r="H14" s="19" t="s">
        <v>82</v>
      </c>
      <c r="I14" s="16" t="n">
        <v>160000</v>
      </c>
      <c r="J14" s="16" t="n">
        <v>148000</v>
      </c>
      <c r="K14" s="17" t="n">
        <f aca="false">I14-J14</f>
        <v>12000</v>
      </c>
      <c r="L14" s="12" t="s">
        <v>84</v>
      </c>
    </row>
    <row r="15" customFormat="false" ht="15" hidden="false" customHeight="false" outlineLevel="0" collapsed="false">
      <c r="A15" s="3" t="s">
        <v>85</v>
      </c>
      <c r="B15" s="4" t="s">
        <v>86</v>
      </c>
      <c r="C15" s="4" t="s">
        <v>23</v>
      </c>
      <c r="D15" s="5" t="s">
        <v>31</v>
      </c>
      <c r="E15" s="6" t="s">
        <v>87</v>
      </c>
      <c r="F15" s="6" t="s">
        <v>88</v>
      </c>
      <c r="G15" s="7" t="n">
        <v>0.05</v>
      </c>
      <c r="H15" s="20" t="s">
        <v>89</v>
      </c>
      <c r="I15" s="9" t="n">
        <v>210000</v>
      </c>
      <c r="J15" s="9" t="n">
        <v>10500</v>
      </c>
      <c r="K15" s="10" t="n">
        <f aca="false">I15-J15</f>
        <v>199500</v>
      </c>
      <c r="L15" s="4" t="s">
        <v>90</v>
      </c>
    </row>
    <row r="16" customFormat="false" ht="15" hidden="false" customHeight="false" outlineLevel="0" collapsed="false">
      <c r="A16" s="11" t="s">
        <v>91</v>
      </c>
      <c r="B16" s="12" t="s">
        <v>92</v>
      </c>
      <c r="C16" s="12" t="s">
        <v>93</v>
      </c>
      <c r="D16" s="13" t="s">
        <v>16</v>
      </c>
      <c r="E16" s="14" t="s">
        <v>94</v>
      </c>
      <c r="F16" s="14" t="s">
        <v>18</v>
      </c>
      <c r="G16" s="15" t="n">
        <v>0.45</v>
      </c>
      <c r="H16" s="8" t="s">
        <v>19</v>
      </c>
      <c r="I16" s="16" t="n">
        <v>135000</v>
      </c>
      <c r="J16" s="16" t="n">
        <v>60750</v>
      </c>
      <c r="K16" s="17" t="n">
        <f aca="false">I16-J16</f>
        <v>74250</v>
      </c>
      <c r="L16" s="12" t="s">
        <v>95</v>
      </c>
    </row>
    <row r="17" customFormat="false" ht="15" hidden="false" customHeight="false" outlineLevel="0" collapsed="false">
      <c r="A17" s="3" t="s">
        <v>96</v>
      </c>
      <c r="B17" s="4" t="s">
        <v>97</v>
      </c>
      <c r="C17" s="4" t="s">
        <v>98</v>
      </c>
      <c r="D17" s="5" t="s">
        <v>34</v>
      </c>
      <c r="E17" s="6" t="s">
        <v>51</v>
      </c>
      <c r="F17" s="6" t="s">
        <v>26</v>
      </c>
      <c r="G17" s="7" t="n">
        <v>0.35</v>
      </c>
      <c r="H17" s="18" t="s">
        <v>34</v>
      </c>
      <c r="I17" s="9" t="n">
        <v>175000</v>
      </c>
      <c r="J17" s="9" t="n">
        <v>61250</v>
      </c>
      <c r="K17" s="10" t="n">
        <f aca="false">I17-J17</f>
        <v>113750</v>
      </c>
      <c r="L17" s="4" t="s">
        <v>99</v>
      </c>
    </row>
    <row r="18" customFormat="false" ht="19.5" hidden="false" customHeight="true" outlineLevel="0" collapsed="false">
      <c r="A18" s="21" t="s">
        <v>100</v>
      </c>
      <c r="B18" s="22"/>
      <c r="C18" s="22"/>
      <c r="D18" s="22"/>
      <c r="E18" s="22"/>
      <c r="F18" s="22"/>
      <c r="G18" s="22"/>
      <c r="H18" s="22"/>
      <c r="I18" s="23" t="n">
        <f aca="false">SUM(I3:I17)</f>
        <v>5245000</v>
      </c>
      <c r="J18" s="23" t="n">
        <f aca="false">SUM(J3:J17)</f>
        <v>1771300</v>
      </c>
      <c r="K18" s="23" t="n">
        <f aca="false">I18-J18</f>
        <v>3473700</v>
      </c>
      <c r="L18" s="22"/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6" min="4" style="0" width="14"/>
    <col collapsed="false" customWidth="true" hidden="false" outlineLevel="0" max="7" min="7" style="0" width="32"/>
  </cols>
  <sheetData>
    <row r="1" customFormat="false" ht="30" hidden="false" customHeight="true" outlineLevel="0" collapsed="false">
      <c r="A1" s="1" t="s">
        <v>101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102</v>
      </c>
      <c r="B2" s="2" t="s">
        <v>103</v>
      </c>
      <c r="C2" s="2" t="s">
        <v>2</v>
      </c>
      <c r="D2" s="2" t="s">
        <v>104</v>
      </c>
      <c r="E2" s="2" t="s">
        <v>105</v>
      </c>
      <c r="F2" s="2" t="s">
        <v>8</v>
      </c>
      <c r="G2" s="2" t="s">
        <v>12</v>
      </c>
    </row>
    <row r="3" customFormat="false" ht="15" hidden="false" customHeight="false" outlineLevel="0" collapsed="false">
      <c r="A3" s="4" t="s">
        <v>106</v>
      </c>
      <c r="B3" s="4" t="s">
        <v>13</v>
      </c>
      <c r="C3" s="4" t="s">
        <v>14</v>
      </c>
      <c r="D3" s="24" t="s">
        <v>107</v>
      </c>
      <c r="E3" s="24" t="s">
        <v>108</v>
      </c>
      <c r="F3" s="19" t="s">
        <v>82</v>
      </c>
      <c r="G3" s="4" t="s">
        <v>109</v>
      </c>
    </row>
    <row r="4" customFormat="false" ht="15" hidden="false" customHeight="false" outlineLevel="0" collapsed="false">
      <c r="A4" s="12" t="s">
        <v>110</v>
      </c>
      <c r="B4" s="12" t="s">
        <v>21</v>
      </c>
      <c r="C4" s="12" t="s">
        <v>22</v>
      </c>
      <c r="D4" s="25" t="s">
        <v>111</v>
      </c>
      <c r="E4" s="25"/>
      <c r="F4" s="8" t="s">
        <v>19</v>
      </c>
      <c r="G4" s="12"/>
    </row>
    <row r="5" customFormat="false" ht="15" hidden="false" customHeight="false" outlineLevel="0" collapsed="false">
      <c r="A5" s="4" t="s">
        <v>112</v>
      </c>
      <c r="B5" s="4" t="s">
        <v>28</v>
      </c>
      <c r="C5" s="4" t="s">
        <v>29</v>
      </c>
      <c r="D5" s="24" t="s">
        <v>83</v>
      </c>
      <c r="E5" s="24"/>
      <c r="F5" s="18" t="s">
        <v>34</v>
      </c>
      <c r="G5" s="4" t="s">
        <v>113</v>
      </c>
    </row>
    <row r="6" customFormat="false" ht="15" hidden="false" customHeight="false" outlineLevel="0" collapsed="false">
      <c r="A6" s="12" t="s">
        <v>114</v>
      </c>
      <c r="B6" s="12" t="s">
        <v>36</v>
      </c>
      <c r="C6" s="12" t="s">
        <v>37</v>
      </c>
      <c r="D6" s="25" t="s">
        <v>83</v>
      </c>
      <c r="E6" s="25" t="s">
        <v>115</v>
      </c>
      <c r="F6" s="19" t="s">
        <v>82</v>
      </c>
      <c r="G6" s="12"/>
    </row>
    <row r="7" customFormat="false" ht="15" hidden="false" customHeight="false" outlineLevel="0" collapsed="false">
      <c r="A7" s="4" t="s">
        <v>116</v>
      </c>
      <c r="B7" s="4" t="s">
        <v>41</v>
      </c>
      <c r="C7" s="4" t="s">
        <v>42</v>
      </c>
      <c r="D7" s="24" t="s">
        <v>117</v>
      </c>
      <c r="E7" s="24"/>
      <c r="F7" s="8" t="s">
        <v>19</v>
      </c>
      <c r="G7" s="4"/>
    </row>
    <row r="8" customFormat="false" ht="15" hidden="false" customHeight="false" outlineLevel="0" collapsed="false">
      <c r="A8" s="12" t="s">
        <v>118</v>
      </c>
      <c r="B8" s="12" t="s">
        <v>48</v>
      </c>
      <c r="C8" s="12" t="s">
        <v>49</v>
      </c>
      <c r="D8" s="25" t="s">
        <v>26</v>
      </c>
      <c r="E8" s="25"/>
      <c r="F8" s="8" t="s">
        <v>19</v>
      </c>
      <c r="G8" s="12"/>
    </row>
    <row r="9" customFormat="false" ht="15" hidden="false" customHeight="false" outlineLevel="0" collapsed="false">
      <c r="A9" s="4" t="s">
        <v>119</v>
      </c>
      <c r="B9" s="4" t="s">
        <v>60</v>
      </c>
      <c r="C9" s="4" t="s">
        <v>61</v>
      </c>
      <c r="D9" s="24" t="s">
        <v>120</v>
      </c>
      <c r="E9" s="24"/>
      <c r="F9" s="8" t="s">
        <v>19</v>
      </c>
      <c r="G9" s="4"/>
    </row>
    <row r="10" customFormat="false" ht="15" hidden="false" customHeight="false" outlineLevel="0" collapsed="false">
      <c r="A10" s="12" t="s">
        <v>121</v>
      </c>
      <c r="B10" s="12" t="s">
        <v>65</v>
      </c>
      <c r="C10" s="12" t="s">
        <v>66</v>
      </c>
      <c r="D10" s="25" t="s">
        <v>122</v>
      </c>
      <c r="E10" s="25"/>
      <c r="F10" s="18" t="s">
        <v>34</v>
      </c>
      <c r="G10" s="12" t="s">
        <v>123</v>
      </c>
    </row>
    <row r="11" customFormat="false" ht="15" hidden="false" customHeight="false" outlineLevel="0" collapsed="false">
      <c r="A11" s="4" t="s">
        <v>124</v>
      </c>
      <c r="B11" s="4" t="s">
        <v>75</v>
      </c>
      <c r="C11" s="4" t="s">
        <v>76</v>
      </c>
      <c r="D11" s="24" t="s">
        <v>26</v>
      </c>
      <c r="E11" s="24"/>
      <c r="F11" s="8" t="s">
        <v>19</v>
      </c>
      <c r="G11" s="4"/>
    </row>
    <row r="12" customFormat="false" ht="15" hidden="false" customHeight="false" outlineLevel="0" collapsed="false">
      <c r="A12" s="12" t="s">
        <v>125</v>
      </c>
      <c r="B12" s="12" t="s">
        <v>79</v>
      </c>
      <c r="C12" s="12" t="s">
        <v>80</v>
      </c>
      <c r="D12" s="25" t="s">
        <v>83</v>
      </c>
      <c r="E12" s="25" t="s">
        <v>115</v>
      </c>
      <c r="F12" s="19" t="s">
        <v>82</v>
      </c>
      <c r="G12" s="12" t="s">
        <v>126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2026-04-05T03:57:18Z</dcterms:created>
  <dc:creator>openpyxl</dc:creator>
  <dc:description/>
  <dc:language>en-US</dc:language>
  <cp:lastModifiedBy/>
  <dcterms:modified xsi:type="dcterms:W3CDTF">2026-04-05T03:57:18Z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